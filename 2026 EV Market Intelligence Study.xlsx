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eti\OneDrive\Masaüstü\"/>
    </mc:Choice>
  </mc:AlternateContent>
  <xr:revisionPtr revIDLastSave="0" documentId="13_ncr:1_{B45C1C7D-4BFD-4871-BD85-5D247F4503FE}" xr6:coauthVersionLast="47" xr6:coauthVersionMax="47" xr10:uidLastSave="{00000000-0000-0000-0000-000000000000}"/>
  <bookViews>
    <workbookView xWindow="-120" yWindow="-120" windowWidth="29040" windowHeight="15720" tabRatio="714" activeTab="5" xr2:uid="{5E7D5FF7-092A-498E-9F40-942F06EC1F57}"/>
  </bookViews>
  <sheets>
    <sheet name="Raw Data" sheetId="1" r:id="rId1"/>
    <sheet name="ANALYSIS PAGE" sheetId="2" r:id="rId2"/>
    <sheet name="DUEL 1 " sheetId="3" r:id="rId3"/>
    <sheet name="DUEL 2 " sheetId="4" r:id="rId4"/>
    <sheet name="DUEL3 " sheetId="5" r:id="rId5"/>
    <sheet name="DUEL 4 " sheetId="6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7" i="2" l="1"/>
  <c r="AC2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Y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AD5" i="2" l="1"/>
  <c r="AD15" i="2"/>
  <c r="AD20" i="2"/>
  <c r="AD3" i="2"/>
  <c r="AD19" i="2"/>
  <c r="AD9" i="2"/>
  <c r="AD4" i="2"/>
  <c r="AD13" i="2"/>
  <c r="AD6" i="2"/>
  <c r="AD12" i="2"/>
  <c r="AD11" i="2"/>
  <c r="AD25" i="2"/>
  <c r="AD22" i="2"/>
  <c r="AD8" i="2"/>
  <c r="AD24" i="2"/>
  <c r="AD10" i="2"/>
  <c r="AD23" i="2"/>
  <c r="AD7" i="2"/>
  <c r="AD21" i="2"/>
  <c r="AD2" i="2"/>
  <c r="AD18" i="2"/>
  <c r="AD17" i="2"/>
  <c r="AD16" i="2"/>
  <c r="AD1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FC4B4D-40F1-4C44-AA1C-6236E2660EB3}" keepAlive="1" name="Query - Price" description="Connection to the 'Price' query in the workbook." type="5" refreshedVersion="0" background="1">
    <dbPr connection="Provider=Microsoft.Mashup.OleDb.1;Data Source=$Workbook$;Location=Price;Extended Properties=&quot;&quot;" command="SELECT * FROM [Price]"/>
  </connection>
  <connection id="2" xr16:uid="{D48F8C2B-C15F-4BD9-B74D-3AC4C5A48489}" keepAlive="1" name="Query - Price (2)" description="Connection to the 'Price (2)' query in the workbook." type="5" refreshedVersion="0" background="1">
    <dbPr connection="Provider=Microsoft.Mashup.OleDb.1;Data Source=$Workbook$;Location=&quot;Price (2)&quot;;Extended Properties=&quot;&quot;" command="SELECT * FROM [Price (2)]"/>
  </connection>
</connections>
</file>

<file path=xl/sharedStrings.xml><?xml version="1.0" encoding="utf-8"?>
<sst xmlns="http://schemas.openxmlformats.org/spreadsheetml/2006/main" count="443" uniqueCount="121">
  <si>
    <t>brand</t>
  </si>
  <si>
    <t>model</t>
  </si>
  <si>
    <t>B - Compact</t>
  </si>
  <si>
    <t>Hatchback</t>
  </si>
  <si>
    <t>JB - Compact</t>
  </si>
  <si>
    <t>SUV</t>
  </si>
  <si>
    <t>JC - Medium</t>
  </si>
  <si>
    <t>Sedan</t>
  </si>
  <si>
    <t>D - Large</t>
  </si>
  <si>
    <t>BYD</t>
  </si>
  <si>
    <t>C - Medium</t>
  </si>
  <si>
    <t>DOLPHIN 60.4 kWh</t>
  </si>
  <si>
    <t>CUPRA</t>
  </si>
  <si>
    <t>Born 170 kW - 59 kWh</t>
  </si>
  <si>
    <t>Citroen</t>
  </si>
  <si>
    <t>e-C3</t>
  </si>
  <si>
    <t>A - Mini</t>
  </si>
  <si>
    <t>Fiat</t>
  </si>
  <si>
    <t>500e Hatchback 42 kWh</t>
  </si>
  <si>
    <t>Grande Panda</t>
  </si>
  <si>
    <t>Hyundai</t>
  </si>
  <si>
    <t>INSTER Long Range</t>
  </si>
  <si>
    <t>JA - Mini</t>
  </si>
  <si>
    <t>Leapmotor</t>
  </si>
  <si>
    <t>T03</t>
  </si>
  <si>
    <t>MG</t>
  </si>
  <si>
    <t>4 Electric 51 kWh</t>
  </si>
  <si>
    <t>Mini</t>
  </si>
  <si>
    <t>Cooper E</t>
  </si>
  <si>
    <t>Opel</t>
  </si>
  <si>
    <t>Corsa Electric 51 kWh</t>
  </si>
  <si>
    <t>Peugeot</t>
  </si>
  <si>
    <t>e-208 51 kWh</t>
  </si>
  <si>
    <t>e-3008 73 kWh</t>
  </si>
  <si>
    <t>Renault</t>
  </si>
  <si>
    <t>5 E-Tech 52kWh 150hp</t>
  </si>
  <si>
    <t>Megane E-Tech EV60 220hp (TU2025)</t>
  </si>
  <si>
    <t>Scenic E-Tech EV87 220hp</t>
  </si>
  <si>
    <t>Skoda</t>
  </si>
  <si>
    <t>Enyaq 85</t>
  </si>
  <si>
    <t>Tesla</t>
  </si>
  <si>
    <t>Volkswagen</t>
  </si>
  <si>
    <t>ID.3 Pro</t>
  </si>
  <si>
    <t>ID.4 Pro</t>
  </si>
  <si>
    <t>Volvo</t>
  </si>
  <si>
    <t xml:space="preserve">Model 3 RWD </t>
  </si>
  <si>
    <t>EX30 Single Motor ER</t>
  </si>
  <si>
    <t xml:space="preserve">IONIQ 5 84 kWh </t>
  </si>
  <si>
    <t>Full_Model_Name</t>
  </si>
  <si>
    <t>BYD DOLPHIN 60.4 kWh</t>
  </si>
  <si>
    <t>CUPRA Born 170 kW - 59 kWh</t>
  </si>
  <si>
    <t>Citroen e-C3</t>
  </si>
  <si>
    <t>Fiat 500e Hatchback 42 kWh</t>
  </si>
  <si>
    <t>Fiat Grande Panda</t>
  </si>
  <si>
    <t>Hyundai INSTER Long Range</t>
  </si>
  <si>
    <t xml:space="preserve">Hyundai IONIQ 5 84 kWh </t>
  </si>
  <si>
    <t>Leapmotor T03</t>
  </si>
  <si>
    <t>MG 4 Electric 51 kWh</t>
  </si>
  <si>
    <t>Mini Cooper E</t>
  </si>
  <si>
    <t>Opel Corsa Electric 51 kWh</t>
  </si>
  <si>
    <t>Peugeot e-208 51 kWh</t>
  </si>
  <si>
    <t>Renault 5 E-Tech 52kWh 150hp</t>
  </si>
  <si>
    <t>Renault Megane E-Tech EV60 220hp (TU2025)</t>
  </si>
  <si>
    <t>Renault Scenic E-Tech EV87 220hp</t>
  </si>
  <si>
    <t>Skoda Enyaq 85</t>
  </si>
  <si>
    <t xml:space="preserve">Tesla Model 3 RWD </t>
  </si>
  <si>
    <t>Volkswagen ID.3 Pro</t>
  </si>
  <si>
    <t>Volkswagen ID.4 Pro</t>
  </si>
  <si>
    <t>Volvo EX30 Single Motor ER</t>
  </si>
  <si>
    <t>Twingo E-Tech (Legend - 2026)</t>
  </si>
  <si>
    <t xml:space="preserve"> Dolphin Surf (Seagull)</t>
  </si>
  <si>
    <t>Duel 1 Rival</t>
  </si>
  <si>
    <t>Duel 1 Renault</t>
  </si>
  <si>
    <t>Duel 2 Rival</t>
  </si>
  <si>
    <t>Duel 2 Renault</t>
  </si>
  <si>
    <t>Duel 3 Rival</t>
  </si>
  <si>
    <t>Duel 3 Renault</t>
  </si>
  <si>
    <t>Duel 4 Rival</t>
  </si>
  <si>
    <t>Duel 4 Renault</t>
  </si>
  <si>
    <t>Duel_Category</t>
  </si>
  <si>
    <t>Range (WLTP)</t>
  </si>
  <si>
    <t>Battery Net (kWh)</t>
  </si>
  <si>
    <t>Eff. (Wh/km)</t>
  </si>
  <si>
    <t>Weight (kg)</t>
  </si>
  <si>
    <t>0-100 (sec)</t>
  </si>
  <si>
    <t>DC Charge (kW)</t>
  </si>
  <si>
    <t>Price (euro)</t>
  </si>
  <si>
    <t>Body Type</t>
  </si>
  <si>
    <t>Segment</t>
  </si>
  <si>
    <t>Heat Pump</t>
  </si>
  <si>
    <t>Boot (L)</t>
  </si>
  <si>
    <t>Turn Circle (m)</t>
  </si>
  <si>
    <t>V2L</t>
  </si>
  <si>
    <t>yes</t>
  </si>
  <si>
    <t>no</t>
  </si>
  <si>
    <t>Tesla Model Y Premium RWD (Juniper)</t>
  </si>
  <si>
    <t>Peugeot e-3008 97 kWh LR</t>
  </si>
  <si>
    <t>BYD DOLPHIN SURF 30 kWh Active</t>
  </si>
  <si>
    <t>Renault Twingo E-Tech</t>
  </si>
  <si>
    <t>Charge 10-80%</t>
  </si>
  <si>
    <t>Value For Money (VFM)</t>
  </si>
  <si>
    <t>Running Cost (euro/100km)</t>
  </si>
  <si>
    <t>Range Eff. (km/kWh)</t>
  </si>
  <si>
    <t>Charge Time for 100km</t>
  </si>
  <si>
    <t>Price Advantage %</t>
  </si>
  <si>
    <t>Model Y Premium RWD (Juniper)</t>
  </si>
  <si>
    <t>VFM_Score</t>
  </si>
  <si>
    <t>RunCost_Score</t>
  </si>
  <si>
    <t>Eff_Score</t>
  </si>
  <si>
    <t>Charge_Score</t>
  </si>
  <si>
    <t>Price_Score</t>
  </si>
  <si>
    <t>Acc_Score</t>
  </si>
  <si>
    <t>Duel 1</t>
  </si>
  <si>
    <t>Duel 2</t>
  </si>
  <si>
    <t>Duel 3</t>
  </si>
  <si>
    <t>Duel 4</t>
  </si>
  <si>
    <t>MASTER SCORE</t>
  </si>
  <si>
    <t>Row Labels</t>
  </si>
  <si>
    <t>Grand Total</t>
  </si>
  <si>
    <t>Sum of MASTER SCORE</t>
  </si>
  <si>
    <t>Average of MASTER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</si>
</sst>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[$€-2]\ * #,##0.00_);_([$€-2]\ * \(#,##0.00\);_([$€-2]\ * &quot;-&quot;??_);_(@_)"/>
    <numFmt numFmtId="165" formatCode="[$€-2]\ #,##0.00"/>
    <numFmt numFmtId="166" formatCode="_([$€-2]\ * #,##0.00_);_([$€-2]\ * \(#,##0.00\);_([$€-2]\ * &quot;-&quot;???_);_(@_)"/>
    <numFmt numFmtId="167" formatCode="0.0"/>
  </numFmts>
  <fonts count="19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8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0" fillId="35" borderId="10" xfId="0" applyFill="1" applyBorder="1"/>
    <xf numFmtId="0" fontId="0" fillId="35" borderId="10" xfId="0" applyFill="1" applyBorder="1" applyAlignment="1">
      <alignment horizontal="center"/>
    </xf>
    <xf numFmtId="2" fontId="0" fillId="35" borderId="10" xfId="0" applyNumberFormat="1" applyFill="1" applyBorder="1" applyAlignment="1">
      <alignment horizontal="center"/>
    </xf>
    <xf numFmtId="1" fontId="0" fillId="35" borderId="10" xfId="0" applyNumberFormat="1" applyFill="1" applyBorder="1" applyAlignment="1">
      <alignment horizontal="center"/>
    </xf>
    <xf numFmtId="165" fontId="0" fillId="35" borderId="10" xfId="0" applyNumberFormat="1" applyFill="1" applyBorder="1" applyAlignment="1">
      <alignment horizontal="center"/>
    </xf>
    <xf numFmtId="0" fontId="0" fillId="34" borderId="10" xfId="0" applyFill="1" applyBorder="1"/>
    <xf numFmtId="0" fontId="0" fillId="34" borderId="10" xfId="0" applyFill="1" applyBorder="1" applyAlignment="1">
      <alignment horizontal="center"/>
    </xf>
    <xf numFmtId="2" fontId="0" fillId="34" borderId="10" xfId="0" applyNumberFormat="1" applyFill="1" applyBorder="1" applyAlignment="1">
      <alignment horizontal="center"/>
    </xf>
    <xf numFmtId="1" fontId="0" fillId="34" borderId="10" xfId="0" applyNumberFormat="1" applyFill="1" applyBorder="1" applyAlignment="1">
      <alignment horizontal="center"/>
    </xf>
    <xf numFmtId="165" fontId="0" fillId="34" borderId="10" xfId="0" applyNumberFormat="1" applyFill="1" applyBorder="1" applyAlignment="1">
      <alignment horizontal="center"/>
    </xf>
    <xf numFmtId="0" fontId="0" fillId="36" borderId="10" xfId="0" applyFill="1" applyBorder="1"/>
    <xf numFmtId="0" fontId="0" fillId="36" borderId="10" xfId="0" applyFill="1" applyBorder="1" applyAlignment="1">
      <alignment horizontal="center"/>
    </xf>
    <xf numFmtId="2" fontId="0" fillId="36" borderId="10" xfId="0" applyNumberFormat="1" applyFill="1" applyBorder="1" applyAlignment="1">
      <alignment horizontal="center"/>
    </xf>
    <xf numFmtId="1" fontId="0" fillId="36" borderId="10" xfId="0" applyNumberFormat="1" applyFill="1" applyBorder="1" applyAlignment="1">
      <alignment horizontal="center"/>
    </xf>
    <xf numFmtId="165" fontId="0" fillId="36" borderId="10" xfId="0" applyNumberFormat="1" applyFill="1" applyBorder="1" applyAlignment="1">
      <alignment horizontal="center"/>
    </xf>
    <xf numFmtId="0" fontId="8" fillId="33" borderId="10" xfId="8" applyFill="1" applyBorder="1"/>
    <xf numFmtId="0" fontId="8" fillId="33" borderId="10" xfId="8" applyFill="1" applyBorder="1" applyAlignment="1">
      <alignment horizontal="center"/>
    </xf>
    <xf numFmtId="2" fontId="8" fillId="33" borderId="10" xfId="8" applyNumberFormat="1" applyFill="1" applyBorder="1" applyAlignment="1">
      <alignment horizontal="center"/>
    </xf>
    <xf numFmtId="1" fontId="8" fillId="33" borderId="10" xfId="8" applyNumberFormat="1" applyFill="1" applyBorder="1" applyAlignment="1">
      <alignment horizontal="center"/>
    </xf>
    <xf numFmtId="165" fontId="8" fillId="33" borderId="10" xfId="8" applyNumberFormat="1" applyFill="1" applyBorder="1" applyAlignment="1">
      <alignment horizontal="center"/>
    </xf>
    <xf numFmtId="164" fontId="0" fillId="36" borderId="10" xfId="0" applyNumberForma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2" fontId="0" fillId="0" borderId="0" xfId="42" applyNumberFormat="1" applyFont="1" applyAlignment="1">
      <alignment horizontal="center"/>
    </xf>
    <xf numFmtId="167" fontId="0" fillId="0" borderId="0" xfId="0" applyNumberFormat="1"/>
    <xf numFmtId="167" fontId="0" fillId="0" borderId="0" xfId="42" applyNumberFormat="1" applyFont="1" applyAlignment="1">
      <alignment horizontal="center" vertical="center"/>
    </xf>
    <xf numFmtId="167" fontId="0" fillId="0" borderId="0" xfId="0" applyNumberFormat="1" applyAlignment="1">
      <alignment horizontal="center"/>
    </xf>
    <xf numFmtId="167" fontId="0" fillId="35" borderId="10" xfId="0" applyNumberFormat="1" applyFill="1" applyBorder="1" applyAlignment="1">
      <alignment horizontal="center"/>
    </xf>
    <xf numFmtId="167" fontId="0" fillId="34" borderId="10" xfId="0" applyNumberFormat="1" applyFill="1" applyBorder="1" applyAlignment="1">
      <alignment horizontal="center"/>
    </xf>
    <xf numFmtId="167" fontId="0" fillId="36" borderId="10" xfId="0" applyNumberForma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8" fillId="37" borderId="10" xfId="8" applyFill="1" applyBorder="1"/>
    <xf numFmtId="167" fontId="8" fillId="37" borderId="10" xfId="8" applyNumberFormat="1" applyFill="1" applyBorder="1" applyAlignment="1">
      <alignment horizontal="center"/>
    </xf>
    <xf numFmtId="165" fontId="8" fillId="37" borderId="10" xfId="8" applyNumberFormat="1" applyFill="1" applyBorder="1" applyAlignment="1">
      <alignment horizontal="center"/>
    </xf>
    <xf numFmtId="0" fontId="8" fillId="37" borderId="10" xfId="8" applyFill="1" applyBorder="1" applyAlignment="1">
      <alignment horizontal="center"/>
    </xf>
    <xf numFmtId="166" fontId="0" fillId="35" borderId="10" xfId="0" applyNumberFormat="1" applyFill="1" applyBorder="1" applyAlignment="1">
      <alignment horizontal="center"/>
    </xf>
    <xf numFmtId="2" fontId="0" fillId="35" borderId="10" xfId="42" applyNumberFormat="1" applyFont="1" applyFill="1" applyBorder="1" applyAlignment="1">
      <alignment horizontal="center"/>
    </xf>
    <xf numFmtId="167" fontId="0" fillId="35" borderId="10" xfId="42" applyNumberFormat="1" applyFont="1" applyFill="1" applyBorder="1" applyAlignment="1">
      <alignment horizontal="center" vertical="center"/>
    </xf>
    <xf numFmtId="167" fontId="0" fillId="35" borderId="10" xfId="0" applyNumberFormat="1" applyFill="1" applyBorder="1"/>
    <xf numFmtId="2" fontId="0" fillId="35" borderId="10" xfId="0" applyNumberFormat="1" applyFill="1" applyBorder="1"/>
    <xf numFmtId="166" fontId="0" fillId="34" borderId="10" xfId="0" applyNumberFormat="1" applyFill="1" applyBorder="1" applyAlignment="1">
      <alignment horizontal="center"/>
    </xf>
    <xf numFmtId="2" fontId="0" fillId="34" borderId="10" xfId="42" applyNumberFormat="1" applyFont="1" applyFill="1" applyBorder="1" applyAlignment="1">
      <alignment horizontal="center"/>
    </xf>
    <xf numFmtId="167" fontId="0" fillId="34" borderId="10" xfId="42" applyNumberFormat="1" applyFont="1" applyFill="1" applyBorder="1" applyAlignment="1">
      <alignment horizontal="center" vertical="center"/>
    </xf>
    <xf numFmtId="167" fontId="0" fillId="34" borderId="10" xfId="0" applyNumberFormat="1" applyFill="1" applyBorder="1"/>
    <xf numFmtId="2" fontId="0" fillId="34" borderId="10" xfId="0" applyNumberFormat="1" applyFill="1" applyBorder="1"/>
    <xf numFmtId="166" fontId="0" fillId="36" borderId="10" xfId="0" applyNumberFormat="1" applyFill="1" applyBorder="1" applyAlignment="1">
      <alignment horizontal="center"/>
    </xf>
    <xf numFmtId="2" fontId="0" fillId="36" borderId="10" xfId="42" applyNumberFormat="1" applyFont="1" applyFill="1" applyBorder="1" applyAlignment="1">
      <alignment horizontal="center"/>
    </xf>
    <xf numFmtId="167" fontId="0" fillId="36" borderId="10" xfId="42" applyNumberFormat="1" applyFont="1" applyFill="1" applyBorder="1" applyAlignment="1">
      <alignment horizontal="center" vertical="center"/>
    </xf>
    <xf numFmtId="167" fontId="0" fillId="36" borderId="10" xfId="0" applyNumberFormat="1" applyFill="1" applyBorder="1"/>
    <xf numFmtId="2" fontId="0" fillId="36" borderId="10" xfId="0" applyNumberFormat="1" applyFill="1" applyBorder="1"/>
    <xf numFmtId="166" fontId="8" fillId="37" borderId="10" xfId="8" applyNumberFormat="1" applyFill="1" applyBorder="1" applyAlignment="1">
      <alignment horizontal="center"/>
    </xf>
    <xf numFmtId="2" fontId="8" fillId="37" borderId="10" xfId="8" applyNumberFormat="1" applyFill="1" applyBorder="1" applyAlignment="1">
      <alignment horizontal="center"/>
    </xf>
    <xf numFmtId="2" fontId="0" fillId="37" borderId="10" xfId="42" applyNumberFormat="1" applyFont="1" applyFill="1" applyBorder="1" applyAlignment="1">
      <alignment horizontal="center"/>
    </xf>
    <xf numFmtId="167" fontId="0" fillId="37" borderId="10" xfId="42" applyNumberFormat="1" applyFont="1" applyFill="1" applyBorder="1" applyAlignment="1">
      <alignment horizontal="center" vertical="center"/>
    </xf>
    <xf numFmtId="167" fontId="0" fillId="37" borderId="10" xfId="0" applyNumberFormat="1" applyFill="1" applyBorder="1"/>
    <xf numFmtId="2" fontId="0" fillId="37" borderId="10" xfId="0" applyNumberForma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47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[$€-2]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([$€-2]\ * #,##0.00_);_([$€-2]\ * \(#,##0.00\);_([$€-2]\ * &quot;-&quot;?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[$€-2]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[PROJECTS.xlsx]DUEL 1 !PivotTable1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'DUEL 1 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'DUEL 1 '!$A$4:$A$10</c:f>
              <c:strCache>
                <c:ptCount val="6"/>
                <c:pt idx="0">
                  <c:v>Opel Corsa Electric 51 kWh</c:v>
                </c:pt>
                <c:pt idx="1">
                  <c:v>Renault 5 E-Tech 52kWh 150hp</c:v>
                </c:pt>
                <c:pt idx="2">
                  <c:v>Peugeot e-208 51 kWh</c:v>
                </c:pt>
                <c:pt idx="3">
                  <c:v>Mini Cooper E</c:v>
                </c:pt>
                <c:pt idx="4">
                  <c:v>Fiat 500e Hatchback 42 kWh</c:v>
                </c:pt>
                <c:pt idx="5">
                  <c:v>MG 4 Electric 51 kWh</c:v>
                </c:pt>
              </c:strCache>
            </c:strRef>
          </c:cat>
          <c:val>
            <c:numRef>
              <c:f>'DUEL 1 '!$B$4:$B$10</c:f>
              <c:numCache>
                <c:formatCode>0.0</c:formatCode>
                <c:ptCount val="6"/>
                <c:pt idx="0">
                  <c:v>86.72265548091012</c:v>
                </c:pt>
                <c:pt idx="1">
                  <c:v>81.209748735226228</c:v>
                </c:pt>
                <c:pt idx="2">
                  <c:v>79.487187329746476</c:v>
                </c:pt>
                <c:pt idx="3">
                  <c:v>75.60796544287291</c:v>
                </c:pt>
                <c:pt idx="4">
                  <c:v>75.347988803979661</c:v>
                </c:pt>
                <c:pt idx="5">
                  <c:v>70.785082245069404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F8-443A-B5EF-5B0F21B93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905239584"/>
        <c:axId val="1905236224"/>
      </c:barChart>
      <c:catAx>
        <c:axId val="1905239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236224"/>
        <c:crosses val="autoZero"/>
        <c:auto val="1"/>
        <c:lblAlgn val="ctr"/>
        <c:lblOffset val="100"/>
        <c:noMultiLvlLbl val="0"/>
      </c:catAx>
      <c:valAx>
        <c:axId val="190523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239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[PROJECTS.xlsx]DUEL 2 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'DUEL 2 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'DUEL 2 '!$A$4:$A$10</c:f>
              <c:strCache>
                <c:ptCount val="6"/>
                <c:pt idx="0">
                  <c:v>Tesla Model 3 RWD </c:v>
                </c:pt>
                <c:pt idx="1">
                  <c:v>Volkswagen ID.3 Pro</c:v>
                </c:pt>
                <c:pt idx="2">
                  <c:v>BYD DOLPHIN 60.4 kWh</c:v>
                </c:pt>
                <c:pt idx="3">
                  <c:v>Volvo EX30 Single Motor ER</c:v>
                </c:pt>
                <c:pt idx="4">
                  <c:v>Renault Megane E-Tech EV60 220hp (TU2025)</c:v>
                </c:pt>
                <c:pt idx="5">
                  <c:v>CUPRA Born 170 kW - 59 kWh</c:v>
                </c:pt>
              </c:strCache>
            </c:strRef>
          </c:cat>
          <c:val>
            <c:numRef>
              <c:f>'DUEL 2 '!$B$4:$B$10</c:f>
              <c:numCache>
                <c:formatCode>0.0</c:formatCode>
                <c:ptCount val="6"/>
                <c:pt idx="0">
                  <c:v>86.225914894690845</c:v>
                </c:pt>
                <c:pt idx="1">
                  <c:v>74.393160564871025</c:v>
                </c:pt>
                <c:pt idx="2">
                  <c:v>71.972849559879791</c:v>
                </c:pt>
                <c:pt idx="3">
                  <c:v>70.149830069250456</c:v>
                </c:pt>
                <c:pt idx="4">
                  <c:v>69.992205999854846</c:v>
                </c:pt>
                <c:pt idx="5">
                  <c:v>69.763589626032015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4C-4B8C-AEA7-35625FFD5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762342368"/>
        <c:axId val="2062974192"/>
      </c:barChart>
      <c:catAx>
        <c:axId val="1762342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974192"/>
        <c:crosses val="autoZero"/>
        <c:auto val="1"/>
        <c:lblAlgn val="ctr"/>
        <c:lblOffset val="100"/>
        <c:noMultiLvlLbl val="0"/>
      </c:catAx>
      <c:valAx>
        <c:axId val="206297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34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[PROJECTS.xlsx]DUEL3 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'DUEL3 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'DUEL3 '!$A$4:$A$10</c:f>
              <c:strCache>
                <c:ptCount val="6"/>
                <c:pt idx="0">
                  <c:v>Tesla Model Y Premium RWD (Juniper)</c:v>
                </c:pt>
                <c:pt idx="1">
                  <c:v>Volkswagen ID.4 Pro</c:v>
                </c:pt>
                <c:pt idx="2">
                  <c:v>Hyundai IONIQ 5 84 kWh </c:v>
                </c:pt>
                <c:pt idx="3">
                  <c:v>Skoda Enyaq 85</c:v>
                </c:pt>
                <c:pt idx="4">
                  <c:v>Renault Scenic E-Tech EV87 220hp</c:v>
                </c:pt>
                <c:pt idx="5">
                  <c:v>Peugeot e-3008 97 kWh LR</c:v>
                </c:pt>
              </c:strCache>
            </c:strRef>
          </c:cat>
          <c:val>
            <c:numRef>
              <c:f>'DUEL3 '!$B$4:$B$10</c:f>
              <c:numCache>
                <c:formatCode>0.0</c:formatCode>
                <c:ptCount val="6"/>
                <c:pt idx="0">
                  <c:v>86.450309629764945</c:v>
                </c:pt>
                <c:pt idx="1">
                  <c:v>77.176771600544754</c:v>
                </c:pt>
                <c:pt idx="2">
                  <c:v>74.480396007466013</c:v>
                </c:pt>
                <c:pt idx="3">
                  <c:v>74.148059950902407</c:v>
                </c:pt>
                <c:pt idx="4">
                  <c:v>72.675092699284164</c:v>
                </c:pt>
                <c:pt idx="5">
                  <c:v>70.158275799160862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38-4AE7-841C-01B742317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752825760"/>
        <c:axId val="1842854048"/>
      </c:barChart>
      <c:catAx>
        <c:axId val="1752825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854048"/>
        <c:crosses val="autoZero"/>
        <c:auto val="1"/>
        <c:lblAlgn val="ctr"/>
        <c:lblOffset val="100"/>
        <c:noMultiLvlLbl val="0"/>
      </c:catAx>
      <c:valAx>
        <c:axId val="1842854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82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[PROJECTS.xlsx]DUEL 4 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'DUEL 4 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'DUEL 4 '!$A$4:$A$10</c:f>
              <c:strCache>
                <c:ptCount val="6"/>
                <c:pt idx="0">
                  <c:v>Renault Twingo E-Tech</c:v>
                </c:pt>
                <c:pt idx="1">
                  <c:v>Hyundai INSTER Long Range</c:v>
                </c:pt>
                <c:pt idx="2">
                  <c:v>Citroen e-C3</c:v>
                </c:pt>
                <c:pt idx="3">
                  <c:v>Fiat Grande Panda</c:v>
                </c:pt>
                <c:pt idx="4">
                  <c:v>Leapmotor T03</c:v>
                </c:pt>
                <c:pt idx="5">
                  <c:v>BYD DOLPHIN SURF 30 kWh Active</c:v>
                </c:pt>
              </c:strCache>
            </c:strRef>
          </c:cat>
          <c:val>
            <c:numRef>
              <c:f>'DUEL 4 '!$B$4:$B$10</c:f>
              <c:numCache>
                <c:formatCode>0.0</c:formatCode>
                <c:ptCount val="6"/>
                <c:pt idx="0">
                  <c:v>83.555213004858672</c:v>
                </c:pt>
                <c:pt idx="1">
                  <c:v>79.718826102182703</c:v>
                </c:pt>
                <c:pt idx="2">
                  <c:v>79.285849123166159</c:v>
                </c:pt>
                <c:pt idx="3">
                  <c:v>75.898315429166971</c:v>
                </c:pt>
                <c:pt idx="4">
                  <c:v>75.075965285316812</c:v>
                </c:pt>
                <c:pt idx="5">
                  <c:v>69.2812963203544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30-4B0F-86B7-B036B4FF6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756366400"/>
        <c:axId val="1756363520"/>
      </c:barChart>
      <c:catAx>
        <c:axId val="1756366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363520"/>
        <c:crosses val="autoZero"/>
        <c:auto val="1"/>
        <c:lblAlgn val="ctr"/>
        <c:lblOffset val="100"/>
        <c:noMultiLvlLbl val="0"/>
      </c:catAx>
      <c:valAx>
        <c:axId val="1756363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36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11</xdr:row>
      <xdr:rowOff>42862</xdr:rowOff>
    </xdr:from>
    <xdr:to>
      <xdr:col>4</xdr:col>
      <xdr:colOff>600075</xdr:colOff>
      <xdr:row>25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EE5DAE-59E1-83D5-41AA-53BFF41DA6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11</xdr:row>
      <xdr:rowOff>42862</xdr:rowOff>
    </xdr:from>
    <xdr:to>
      <xdr:col>3</xdr:col>
      <xdr:colOff>342900</xdr:colOff>
      <xdr:row>25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C2D0D6-DCBE-4C75-1D0C-47FF758BCC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11</xdr:row>
      <xdr:rowOff>42862</xdr:rowOff>
    </xdr:from>
    <xdr:to>
      <xdr:col>5</xdr:col>
      <xdr:colOff>9525</xdr:colOff>
      <xdr:row>25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9EF51D-AB77-A2D1-A2DB-A81CFE7D1D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11</xdr:row>
      <xdr:rowOff>42862</xdr:rowOff>
    </xdr:from>
    <xdr:to>
      <xdr:col>4</xdr:col>
      <xdr:colOff>400050</xdr:colOff>
      <xdr:row>25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FF222F-672C-8A98-2235-59158E7B53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hmet yılmaz" refreshedDate="46101.828121874998" createdVersion="8" refreshedVersion="8" minRefreshableVersion="3" recordCount="24" xr:uid="{C3205937-646E-4099-A205-937F6B0BA602}">
  <cacheSource type="worksheet">
    <worksheetSource name="Table13"/>
  </cacheSource>
  <cacheFields count="30">
    <cacheField name="brand" numFmtId="0">
      <sharedItems/>
    </cacheField>
    <cacheField name="model" numFmtId="0">
      <sharedItems/>
    </cacheField>
    <cacheField name="Full_Model_Name" numFmtId="0">
      <sharedItems count="24">
        <s v="Tesla Model Y Premium RWD (Juniper)"/>
        <s v="BYD DOLPHIN 60.4 kWh"/>
        <s v="CUPRA Born 170 kW - 59 kWh"/>
        <s v="Citroen e-C3"/>
        <s v="Fiat 500e Hatchback 42 kWh"/>
        <s v="Fiat Grande Panda"/>
        <s v="Hyundai INSTER Long Range"/>
        <s v="Hyundai IONIQ 5 84 kWh "/>
        <s v="Leapmotor T03"/>
        <s v="MG 4 Electric 51 kWh"/>
        <s v="Mini Cooper E"/>
        <s v="Opel Corsa Electric 51 kWh"/>
        <s v="Peugeot e-208 51 kWh"/>
        <s v="Peugeot e-3008 97 kWh LR"/>
        <s v="Renault 5 E-Tech 52kWh 150hp"/>
        <s v="Renault Megane E-Tech EV60 220hp (TU2025)"/>
        <s v="Renault Scenic E-Tech EV87 220hp"/>
        <s v="Skoda Enyaq 85"/>
        <s v="Tesla Model 3 RWD "/>
        <s v="Volkswagen ID.3 Pro"/>
        <s v="Volkswagen ID.4 Pro"/>
        <s v="Volvo EX30 Single Motor ER"/>
        <s v="Renault Twingo E-Tech"/>
        <s v="BYD DOLPHIN SURF 30 kWh Active"/>
      </sharedItems>
    </cacheField>
    <cacheField name="Battery Net (kWh)" numFmtId="0">
      <sharedItems containsSemiMixedTypes="0" containsString="0" containsNumber="1" minValue="27.5" maxValue="97"/>
    </cacheField>
    <cacheField name="Eff. (Wh/km)" numFmtId="0">
      <sharedItems containsSemiMixedTypes="0" containsString="0" containsNumber="1" containsInteger="1" minValue="130" maxValue="171"/>
    </cacheField>
    <cacheField name="Range (WLTP)" numFmtId="2">
      <sharedItems containsSemiMixedTypes="0" containsString="0" containsNumber="1" containsInteger="1" minValue="220" maxValue="701"/>
    </cacheField>
    <cacheField name="0-100 (sec)" numFmtId="167">
      <sharedItems containsSemiMixedTypes="0" containsString="0" containsNumber="1" minValue="5.3" maxValue="12.7"/>
    </cacheField>
    <cacheField name="DC Charge (kW)" numFmtId="1">
      <sharedItems containsSemiMixedTypes="0" containsString="0" containsNumber="1" containsInteger="1" minValue="48" maxValue="263"/>
    </cacheField>
    <cacheField name="Segment" numFmtId="0">
      <sharedItems containsBlank="1"/>
    </cacheField>
    <cacheField name="Body Type" numFmtId="0">
      <sharedItems containsBlank="1"/>
    </cacheField>
    <cacheField name="Charge 10-80%" numFmtId="0">
      <sharedItems containsSemiMixedTypes="0" containsString="0" containsNumber="1" containsInteger="1" minValue="18" maxValue="53"/>
    </cacheField>
    <cacheField name="Boot (L)" numFmtId="0">
      <sharedItems containsSemiMixedTypes="0" containsString="0" containsNumber="1" containsInteger="1" minValue="185" maxValue="594"/>
    </cacheField>
    <cacheField name="Heat Pump" numFmtId="0">
      <sharedItems/>
    </cacheField>
    <cacheField name="Turn Circle (m)" numFmtId="2">
      <sharedItems containsSemiMixedTypes="0" containsString="0" containsNumber="1" minValue="9.3000000000000007" maxValue="12.1"/>
    </cacheField>
    <cacheField name="V2L" numFmtId="0">
      <sharedItems/>
    </cacheField>
    <cacheField name="Price (euro)" numFmtId="165">
      <sharedItems containsSemiMixedTypes="0" containsString="0" containsNumber="1" containsInteger="1" minValue="18900" maxValue="52850"/>
    </cacheField>
    <cacheField name="Weight (kg)" numFmtId="0">
      <sharedItems containsSemiMixedTypes="0" containsString="0" containsNumber="1" containsInteger="1" minValue="1250" maxValue="2241"/>
    </cacheField>
    <cacheField name="Duel_Category" numFmtId="0">
      <sharedItems count="4">
        <s v="Duel 3"/>
        <s v="Duel 2"/>
        <s v="Duel 4"/>
        <s v="Duel 1"/>
      </sharedItems>
    </cacheField>
    <cacheField name="Value For Money (VFM)" numFmtId="0">
      <sharedItems containsSemiMixedTypes="0" containsString="0" containsNumber="1" minValue="9.2705167173252292" maxValue="14.5669291338583"/>
    </cacheField>
    <cacheField name="Running Cost (euro/100km)" numFmtId="166">
      <sharedItems containsSemiMixedTypes="0" containsString="0" containsNumber="1" minValue="3.9" maxValue="5.13"/>
    </cacheField>
    <cacheField name="Range Eff. (km/kWh)" numFmtId="2">
      <sharedItems containsSemiMixedTypes="0" containsString="0" containsNumber="1" minValue="6.9488188976377954" maxValue="9.5636363636363644"/>
    </cacheField>
    <cacheField name="Charge Time for 100km" numFmtId="2">
      <sharedItems containsSemiMixedTypes="0" containsString="0" containsNumber="1" minValue="2.8683812405446298" maxValue="16.981132075471699"/>
    </cacheField>
    <cacheField name="Price Advantage %" numFmtId="2">
      <sharedItems containsSemiMixedTypes="0" containsString="0" containsNumber="1" minValue="-0.14146774636869153" maxValue="0.15618721631073737"/>
    </cacheField>
    <cacheField name="VFM_Score" numFmtId="167">
      <sharedItems containsSemiMixedTypes="0" containsString="0" containsNumber="1" minValue="65.950666824029142" maxValue="100"/>
    </cacheField>
    <cacheField name="RunCost_Score" numFmtId="167">
      <sharedItems containsSemiMixedTypes="0" containsString="0" containsNumber="1" minValue="76.47058823529413" maxValue="100"/>
    </cacheField>
    <cacheField name="Eff_Score" numFmtId="167">
      <sharedItems containsSemiMixedTypes="0" containsString="0" containsNumber="1" minValue="76.679340937896058" maxValue="100"/>
    </cacheField>
    <cacheField name="Charge_Score" numFmtId="167">
      <sharedItems containsSemiMixedTypes="0" containsString="0" containsNumber="1" minValue="48.790945490084802" maxValue="100"/>
    </cacheField>
    <cacheField name="Price_Score" numFmtId="2">
      <sharedItems containsSemiMixedTypes="0" containsString="0" containsNumber="1" minValue="35.853225363130846" maxValue="65.61872163107374"/>
    </cacheField>
    <cacheField name="Acc_Score" numFmtId="167">
      <sharedItems containsSemiMixedTypes="0" containsString="0" containsNumber="1" minValue="64.367816091954026" maxValue="100"/>
    </cacheField>
    <cacheField name="MASTER SCORE" numFmtId="167">
      <sharedItems containsSemiMixedTypes="0" containsString="0" containsNumber="1" minValue="69.2812963203544" maxValue="86.72265548091012" count="24">
        <n v="86.450309629764945"/>
        <n v="71.972849559879791"/>
        <n v="69.763589626032015"/>
        <n v="79.285849123166159"/>
        <n v="75.347988803979661"/>
        <n v="75.898315429166971"/>
        <n v="79.718826102182703"/>
        <n v="74.480396007466013"/>
        <n v="75.075965285316812"/>
        <n v="70.785082245069404"/>
        <n v="75.60796544287291"/>
        <n v="86.72265548091012"/>
        <n v="79.487187329746476"/>
        <n v="70.158275799160862"/>
        <n v="81.209748735226228"/>
        <n v="69.992205999854846"/>
        <n v="72.675092699284164"/>
        <n v="74.148059950902407"/>
        <n v="86.225914894690845"/>
        <n v="74.393160564871025"/>
        <n v="77.176771600544754"/>
        <n v="70.149830069250456"/>
        <n v="83.555213004858672"/>
        <n v="69.281296320354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Tesla"/>
    <s v="Model Y Premium RWD (Juniper)"/>
    <x v="0"/>
    <n v="79"/>
    <n v="142"/>
    <n v="661"/>
    <n v="5.6"/>
    <n v="250"/>
    <s v="JC - Medium"/>
    <s v="SUV"/>
    <n v="28"/>
    <n v="500"/>
    <s v="yes"/>
    <n v="12.1"/>
    <s v="no"/>
    <n v="50970"/>
    <n v="1976"/>
    <x v="0"/>
    <n v="12.968412791838301"/>
    <n v="4.26"/>
    <n v="8.3670886075949404"/>
    <n v="2.8683812405446298"/>
    <n v="-2.4162354950519917E-2"/>
    <n v="97.771842517639683"/>
    <n v="100"/>
    <n v="100"/>
    <n v="100"/>
    <n v="47.583764504948007"/>
    <n v="100"/>
    <x v="0"/>
  </r>
  <r>
    <s v="BYD"/>
    <s v="DOLPHIN 60.4 kWh"/>
    <x v="1"/>
    <n v="60.5"/>
    <n v="159"/>
    <n v="427"/>
    <n v="7"/>
    <n v="110"/>
    <s v="C - Medium"/>
    <s v="Hatchback"/>
    <n v="36"/>
    <n v="345"/>
    <s v="yes"/>
    <n v="10.5"/>
    <s v="yes"/>
    <n v="34640"/>
    <n v="1733"/>
    <x v="1"/>
    <n v="12.3267898383372"/>
    <n v="4.7699999999999996"/>
    <n v="7.0578512396694215"/>
    <n v="7.7283372365339584"/>
    <n v="0.12112818994862248"/>
    <n v="87.695645310567429"/>
    <n v="81.761006289308185"/>
    <n v="79.301699322128329"/>
    <n v="49.846782431052091"/>
    <n v="62.112818994862252"/>
    <n v="75.714285714285708"/>
    <x v="1"/>
  </r>
  <r>
    <s v="CUPRA"/>
    <s v="Born 170 kW - 59 kWh"/>
    <x v="2"/>
    <n v="59"/>
    <n v="156"/>
    <n v="427"/>
    <n v="6.7"/>
    <n v="165"/>
    <s v="C - Medium"/>
    <s v="Hatchback"/>
    <n v="24"/>
    <n v="385"/>
    <s v="yes"/>
    <n v="10.199999999999999"/>
    <s v="no"/>
    <n v="41450"/>
    <n v="1841"/>
    <x v="1"/>
    <n v="10.301568154402901"/>
    <n v="4.68"/>
    <n v="7.2372881355932206"/>
    <n v="5.0244837130083031"/>
    <n v="-5.1652324671755144E-2"/>
    <n v="73.287747974862555"/>
    <n v="83.333333333333343"/>
    <n v="81.317844220148544"/>
    <n v="76.671110264711487"/>
    <n v="44.834767532824486"/>
    <n v="79.104477611940297"/>
    <x v="2"/>
  </r>
  <r>
    <s v="Citroen"/>
    <s v="e-C3"/>
    <x v="3"/>
    <n v="43.8"/>
    <n v="164"/>
    <n v="327"/>
    <n v="11.5"/>
    <n v="97"/>
    <s v="B - Compact"/>
    <s v="Hatchback"/>
    <n v="31"/>
    <n v="310"/>
    <s v="no"/>
    <n v="10.3"/>
    <s v="no"/>
    <n v="23300"/>
    <n v="1491"/>
    <x v="2"/>
    <n v="14.0343347639485"/>
    <n v="4.919999999999999"/>
    <n v="7.4657534246575343"/>
    <n v="8.2852548945427031"/>
    <n v="-4.0255971426445478E-2"/>
    <n v="96.343811622781388"/>
    <n v="79.878048780487802"/>
    <n v="78.063961664670032"/>
    <n v="100"/>
    <n v="45.97440285735545"/>
    <n v="92.173913043478265"/>
    <x v="3"/>
  </r>
  <r>
    <s v="Fiat"/>
    <s v="500e Hatchback 42 kWh"/>
    <x v="4"/>
    <n v="37.299999999999997"/>
    <n v="140"/>
    <n v="333"/>
    <n v="9"/>
    <n v="85"/>
    <s v="B - Compact"/>
    <s v="Hatchback"/>
    <n v="25"/>
    <n v="185"/>
    <s v="no"/>
    <n v="9.6999999999999993"/>
    <s v="no"/>
    <n v="34990"/>
    <n v="1365"/>
    <x v="3"/>
    <n v="9.5170048585310099"/>
    <n v="4.2"/>
    <n v="8.9276139410187678"/>
    <n v="7.9067302596714351"/>
    <n v="-2.5122683659269025E-2"/>
    <n v="69.857921444088916"/>
    <n v="98.571428571428555"/>
    <n v="100"/>
    <n v="83.204413885560527"/>
    <n v="47.4877316340731"/>
    <n v="81.111111111111114"/>
    <x v="4"/>
  </r>
  <r>
    <s v="Fiat"/>
    <s v="Grande Panda"/>
    <x v="5"/>
    <n v="43.8"/>
    <n v="167"/>
    <n v="322"/>
    <n v="11"/>
    <n v="97"/>
    <s v="B - Compact"/>
    <s v="Hatchback"/>
    <n v="31"/>
    <n v="361"/>
    <s v="yes"/>
    <n v="10.9"/>
    <s v="no"/>
    <n v="24990"/>
    <n v="1511"/>
    <x v="2"/>
    <n v="12.8851540616247"/>
    <n v="5.01"/>
    <n v="7.3515981735159821"/>
    <n v="8.4139079208554772"/>
    <n v="-0.11570801398913616"/>
    <n v="88.454841396018011"/>
    <n v="78.443113772455092"/>
    <n v="76.870323107106273"/>
    <n v="98.470948012232427"/>
    <n v="38.429198601086384"/>
    <n v="96.36363636363636"/>
    <x v="5"/>
  </r>
  <r>
    <s v="Hyundai"/>
    <s v="INSTER Long Range"/>
    <x v="6"/>
    <n v="46"/>
    <n v="149"/>
    <n v="370"/>
    <n v="10.6"/>
    <n v="85"/>
    <s v="JA - Mini"/>
    <s v="SUV"/>
    <n v="29"/>
    <n v="351"/>
    <s v="yes"/>
    <n v="10.6"/>
    <s v="yes"/>
    <n v="25400"/>
    <n v="1410"/>
    <x v="2"/>
    <n v="14.5669291338583"/>
    <n v="4.47"/>
    <n v="8.0434782608695645"/>
    <n v="8.7758346581876001"/>
    <n v="-0.1340129473919191"/>
    <n v="100"/>
    <n v="87.919463087248317"/>
    <n v="84.10481071251445"/>
    <n v="94.40987914252463"/>
    <n v="36.598705260808089"/>
    <n v="100"/>
    <x v="6"/>
  </r>
  <r>
    <s v="Hyundai"/>
    <s v="IONIQ 5 84 kWh "/>
    <x v="7"/>
    <n v="80"/>
    <n v="160"/>
    <n v="570"/>
    <n v="7.5"/>
    <n v="263"/>
    <s v="D - Large"/>
    <s v="SUV"/>
    <n v="18"/>
    <n v="520"/>
    <s v="yes"/>
    <n v="12"/>
    <s v="yes"/>
    <n v="51650"/>
    <n v="2060"/>
    <x v="0"/>
    <n v="11.0358180058083"/>
    <n v="4.8"/>
    <n v="7.125"/>
    <n v="3.2019211526916145"/>
    <n v="-3.7825890390314962E-2"/>
    <n v="83.201566563048317"/>
    <n v="88.75"/>
    <n v="85.155068078668648"/>
    <n v="89.583131618759481"/>
    <n v="46.217410960968508"/>
    <n v="74.666666666666657"/>
    <x v="7"/>
  </r>
  <r>
    <s v="Leapmotor"/>
    <s v="T03"/>
    <x v="8"/>
    <n v="36"/>
    <n v="163"/>
    <n v="265"/>
    <n v="12.7"/>
    <n v="48"/>
    <s v="A - Mini"/>
    <s v="Hatchback"/>
    <n v="53"/>
    <n v="210"/>
    <s v="no"/>
    <n v="9.6999999999999993"/>
    <s v="no"/>
    <n v="18900"/>
    <n v="1250"/>
    <x v="2"/>
    <n v="14.021164021163999"/>
    <n v="4.8899999999999997"/>
    <n v="7.3611111111111107"/>
    <n v="16.981132075471699"/>
    <n v="0.15618721631073737"/>
    <n v="96.253396253395891"/>
    <n v="80.368098159509202"/>
    <n v="76.969792986903244"/>
    <n v="48.790945490084802"/>
    <n v="65.61872163107374"/>
    <n v="83.464566929133866"/>
    <x v="8"/>
  </r>
  <r>
    <s v="MG"/>
    <s v="4 Electric 51 kWh"/>
    <x v="9"/>
    <n v="50.8"/>
    <n v="167"/>
    <n v="353"/>
    <n v="7.7"/>
    <n v="87"/>
    <s v="C - Medium"/>
    <s v="Hatchback"/>
    <n v="35"/>
    <n v="363"/>
    <s v="no"/>
    <n v="10.6"/>
    <s v="yes"/>
    <n v="34990"/>
    <n v="1710"/>
    <x v="3"/>
    <n v="10.088596741926301"/>
    <n v="5.01"/>
    <n v="6.9488188976377954"/>
    <n v="9.9247826511673338"/>
    <n v="-2.5122683659269025E-2"/>
    <n v="74.0535924016921"/>
    <n v="82.634730538922156"/>
    <n v="77.835118583150077"/>
    <n v="66.286071960458443"/>
    <n v="47.4877316340731"/>
    <n v="94.805194805194802"/>
    <x v="9"/>
  </r>
  <r>
    <s v="Mini"/>
    <s v="Cooper E"/>
    <x v="10"/>
    <n v="36.6"/>
    <n v="138"/>
    <n v="305"/>
    <n v="7.3"/>
    <n v="70"/>
    <s v="B - Compact"/>
    <s v="Hatchback"/>
    <n v="27"/>
    <n v="200"/>
    <s v="yes"/>
    <n v="10.7"/>
    <s v="no"/>
    <n v="32900"/>
    <n v="1615"/>
    <x v="3"/>
    <n v="9.2705167173252292"/>
    <n v="4.1399999999999997"/>
    <n v="8.3333333333333321"/>
    <n v="10.285714285714288"/>
    <n v="3.6109280011719036E-2"/>
    <n v="68.048618048618039"/>
    <n v="100"/>
    <n v="93.343343343343321"/>
    <n v="63.960055542365438"/>
    <n v="53.610928001171906"/>
    <n v="100"/>
    <x v="10"/>
  </r>
  <r>
    <s v="Opel"/>
    <s v="Corsa Electric 51 kWh"/>
    <x v="11"/>
    <n v="50.8"/>
    <n v="142"/>
    <n v="429"/>
    <n v="8.1"/>
    <n v="107"/>
    <s v="B - Compact"/>
    <s v="Hatchback"/>
    <n v="28"/>
    <n v="267"/>
    <s v="yes"/>
    <n v="10.7"/>
    <s v="no"/>
    <n v="31490"/>
    <n v="1544"/>
    <x v="3"/>
    <n v="13.6233724992061"/>
    <n v="4.26"/>
    <n v="8.4448818897637796"/>
    <n v="6.640088883079537"/>
    <n v="7.7418882296931071E-2"/>
    <n v="100"/>
    <n v="97.183098591549282"/>
    <n v="94.592821167624308"/>
    <n v="99.076212471131655"/>
    <n v="57.74188822969311"/>
    <n v="90.123456790123456"/>
    <x v="11"/>
  </r>
  <r>
    <s v="Peugeot"/>
    <s v="e-208 51 kWh"/>
    <x v="12"/>
    <n v="50.8"/>
    <n v="140"/>
    <n v="433"/>
    <n v="8.1999999999999993"/>
    <n v="107"/>
    <s v="B - Compact"/>
    <s v="Hatchback"/>
    <n v="28"/>
    <n v="309"/>
    <s v="yes"/>
    <n v="10.4"/>
    <s v="no"/>
    <n v="37525"/>
    <n v="1530"/>
    <x v="3"/>
    <n v="11.538974017321801"/>
    <n v="4.2"/>
    <n v="8.5236220472440944"/>
    <n v="6.5787485700718751"/>
    <n v="-9.9392075001831101E-2"/>
    <n v="84.699834919688442"/>
    <n v="98.571428571428555"/>
    <n v="95.474805514175571"/>
    <n v="100"/>
    <n v="40.060792499816891"/>
    <n v="89.024390243902445"/>
    <x v="12"/>
  </r>
  <r>
    <s v="Peugeot"/>
    <s v="e-3008 73 kWh"/>
    <x v="13"/>
    <n v="97"/>
    <n v="171"/>
    <n v="701"/>
    <n v="8.6999999999999993"/>
    <n v="160"/>
    <s v="C - Medium"/>
    <s v="SUV"/>
    <n v="32"/>
    <n v="588"/>
    <s v="yes"/>
    <n v="10.6"/>
    <s v="yes"/>
    <n v="52850"/>
    <n v="2241"/>
    <x v="0"/>
    <n v="13.263954588457899"/>
    <n v="5.13"/>
    <n v="7.2268041237113403"/>
    <n v="5.1890156918687591"/>
    <n v="-6.1938011754659163E-2"/>
    <n v="100"/>
    <n v="83.040935672514621"/>
    <n v="86.3717890731007"/>
    <n v="55.277945006784478"/>
    <n v="43.806198824534086"/>
    <n v="64.367816091954026"/>
    <x v="13"/>
  </r>
  <r>
    <s v="Renault"/>
    <s v="5 E-Tech 52kWh 150hp"/>
    <x v="14"/>
    <n v="52"/>
    <n v="149"/>
    <n v="412"/>
    <n v="8"/>
    <n v="101"/>
    <s v="B - Compact"/>
    <s v="Hatchback"/>
    <n v="31"/>
    <n v="326"/>
    <s v="yes"/>
    <n v="10.3"/>
    <s v="yes"/>
    <n v="32900"/>
    <n v="1504"/>
    <x v="3"/>
    <n v="12.522796352583599"/>
    <n v="4.47"/>
    <n v="7.9230769230769234"/>
    <n v="7.4978371623570119"/>
    <n v="3.6109280011719036E-2"/>
    <n v="91.921411921411988"/>
    <n v="92.617449664429529"/>
    <n v="88.747978747978735"/>
    <n v="87.74195048007401"/>
    <n v="53.610928001171906"/>
    <n v="91.25"/>
    <x v="14"/>
  </r>
  <r>
    <s v="Renault"/>
    <s v="Megane E-Tech EV60 220hp (TU2025)"/>
    <x v="15"/>
    <n v="60"/>
    <n v="150"/>
    <n v="468"/>
    <n v="7.4"/>
    <n v="129"/>
    <s v="C - Medium"/>
    <s v="Hatchback"/>
    <n v="33"/>
    <n v="440"/>
    <s v="yes"/>
    <n v="10.4"/>
    <s v="yes"/>
    <n v="40990"/>
    <n v="1719"/>
    <x v="1"/>
    <n v="11.417418882654299"/>
    <n v="4.5"/>
    <n v="7.8"/>
    <n v="5.9630292188431726"/>
    <n v="-3.9981394168763409E-2"/>
    <n v="81.22616916704807"/>
    <n v="86.666666666666671"/>
    <n v="87.640449438202239"/>
    <n v="64.603531300160512"/>
    <n v="46.001860583123658"/>
    <n v="71.621621621621614"/>
    <x v="15"/>
  </r>
  <r>
    <s v="Renault"/>
    <s v="Scenic E-Tech EV87 220hp"/>
    <x v="16"/>
    <n v="87"/>
    <n v="168"/>
    <n v="623"/>
    <n v="7.9"/>
    <n v="150"/>
    <s v="JC - Medium"/>
    <s v="SUV"/>
    <n v="40"/>
    <n v="545"/>
    <s v="yes"/>
    <n v="10.9"/>
    <s v="yes"/>
    <n v="47900"/>
    <n v="1917"/>
    <x v="0"/>
    <n v="13.006263048016701"/>
    <n v="5.04"/>
    <n v="7.1609195402298846"/>
    <n v="5.5858747993579456"/>
    <n v="3.752448887326066E-2"/>
    <n v="98.057204292108793"/>
    <n v="84.523809523809518"/>
    <n v="85.584363642686938"/>
    <n v="51.350618185612198"/>
    <n v="53.752448887326068"/>
    <n v="70.886075949367083"/>
    <x v="16"/>
  </r>
  <r>
    <s v="Skoda"/>
    <s v="Enyaq 85"/>
    <x v="17"/>
    <n v="77"/>
    <n v="148"/>
    <n v="586"/>
    <n v="6.7"/>
    <n v="135"/>
    <s v="JC - Medium"/>
    <s v="SUV"/>
    <n v="28"/>
    <n v="585"/>
    <s v="yes"/>
    <n v="9.3000000000000007"/>
    <s v="no"/>
    <n v="48900"/>
    <n v="2141"/>
    <x v="0"/>
    <n v="11.983640081799599"/>
    <n v="4.4400000000000004"/>
    <n v="7.6103896103896105"/>
    <n v="5.8399696624952595"/>
    <n v="1.7431054402973829E-2"/>
    <n v="90.347414882041207"/>
    <n v="95.945945945945937"/>
    <n v="90.956244965322085"/>
    <n v="49.116372281273954"/>
    <n v="51.743105440297384"/>
    <n v="83.582089552238799"/>
    <x v="17"/>
  </r>
  <r>
    <s v="Tesla"/>
    <s v="Model 3 RWD "/>
    <x v="18"/>
    <n v="60"/>
    <n v="130"/>
    <n v="534"/>
    <n v="6.2"/>
    <n v="175"/>
    <s v="D - Large"/>
    <s v="Sedan"/>
    <n v="24"/>
    <n v="594"/>
    <s v="yes"/>
    <n v="11.7"/>
    <s v="no"/>
    <n v="37990"/>
    <n v="1847"/>
    <x v="1"/>
    <n v="14.0563306133193"/>
    <n v="3.9"/>
    <n v="8.9"/>
    <n v="3.8523274478330656"/>
    <n v="3.6133369981182682E-2"/>
    <n v="100"/>
    <n v="100"/>
    <n v="100"/>
    <n v="100"/>
    <n v="53.613336998118271"/>
    <n v="85.483870967741922"/>
    <x v="18"/>
  </r>
  <r>
    <s v="Volkswagen"/>
    <s v="ID.3 Pro"/>
    <x v="19"/>
    <n v="59"/>
    <n v="153"/>
    <n v="434"/>
    <n v="7.6"/>
    <n v="165"/>
    <s v="C - Medium"/>
    <s v="Hatchback"/>
    <n v="24"/>
    <n v="385"/>
    <s v="yes"/>
    <n v="10.3"/>
    <s v="no"/>
    <n v="36425"/>
    <n v="1815"/>
    <x v="1"/>
    <n v="11.914893617021299"/>
    <n v="4.59"/>
    <n v="7.3559322033898304"/>
    <n v="4.943443653121073"/>
    <n v="7.5839905279404554E-2"/>
    <n v="84.76531994581255"/>
    <n v="84.967320261437905"/>
    <n v="82.650923633593592"/>
    <n v="77.928013711673955"/>
    <n v="57.583990527940458"/>
    <n v="69.736842105263165"/>
    <x v="19"/>
  </r>
  <r>
    <s v="Volkswagen"/>
    <s v="ID.4 Pro"/>
    <x v="20"/>
    <n v="77"/>
    <n v="155"/>
    <n v="572"/>
    <n v="6.7"/>
    <n v="175"/>
    <s v="JC - Medium"/>
    <s v="SUV"/>
    <n v="28"/>
    <n v="543"/>
    <s v="yes"/>
    <n v="10.3"/>
    <s v="no"/>
    <n v="46335"/>
    <n v="2139"/>
    <x v="0"/>
    <n v="12.344879680587001"/>
    <n v="4.6499999999999995"/>
    <n v="7.4285714285714288"/>
    <n v="4.6153846153846159"/>
    <n v="6.8970713819259552E-2"/>
    <n v="93.070883183883453"/>
    <n v="91.612903225806448"/>
    <n v="88.7832288740004"/>
    <n v="62.148260211800313"/>
    <n v="56.897071381925954"/>
    <n v="83.582089552238799"/>
    <x v="20"/>
  </r>
  <r>
    <s v="Volvo"/>
    <s v="EX30 Single Motor ER"/>
    <x v="21"/>
    <n v="65"/>
    <n v="170"/>
    <n v="476"/>
    <n v="5.3"/>
    <n v="158"/>
    <s v="JB - Compact"/>
    <s v="SUV"/>
    <n v="28"/>
    <n v="318"/>
    <s v="yes"/>
    <n v="10.6"/>
    <s v="yes"/>
    <n v="44990"/>
    <n v="1850"/>
    <x v="1"/>
    <n v="10.5801289175372"/>
    <n v="5.0999999999999996"/>
    <n v="7.3230769230769228"/>
    <n v="5.1856185512179556"/>
    <n v="-0.14146774636869153"/>
    <n v="75.269493928321737"/>
    <n v="76.47058823529413"/>
    <n v="82.281763180639572"/>
    <n v="74.28867761452031"/>
    <n v="35.853225363130846"/>
    <n v="100"/>
    <x v="21"/>
  </r>
  <r>
    <s v="Renault"/>
    <s v="Twingo E-Tech (Legend - 2026)"/>
    <x v="22"/>
    <n v="27.5"/>
    <n v="131"/>
    <n v="263"/>
    <n v="12.1"/>
    <n v="50"/>
    <m/>
    <m/>
    <n v="30"/>
    <n v="360"/>
    <s v="no"/>
    <n v="9.8000000000000007"/>
    <s v="yes"/>
    <n v="18900"/>
    <n v="1275"/>
    <x v="2"/>
    <n v="13.9153439153439"/>
    <n v="3.9299999999999997"/>
    <n v="9.5636363636363644"/>
    <n v="12.547528517110266"/>
    <n v="0.15618721631073737"/>
    <n v="95.526955526955206"/>
    <n v="100"/>
    <n v="100"/>
    <n v="66.030970826203969"/>
    <n v="65.61872163107374"/>
    <n v="87.603305785123965"/>
    <x v="22"/>
  </r>
  <r>
    <s v="BYD"/>
    <s v=" Dolphin Surf (Seagull)"/>
    <x v="23"/>
    <n v="30"/>
    <n v="155"/>
    <n v="220"/>
    <n v="11.1"/>
    <n v="65"/>
    <m/>
    <m/>
    <n v="29"/>
    <n v="308"/>
    <s v="yes"/>
    <n v="9.9"/>
    <s v="yes"/>
    <n v="22900"/>
    <n v="1369"/>
    <x v="2"/>
    <n v="9.6069868995633207"/>
    <n v="4.6499999999999995"/>
    <n v="7.333333333333333"/>
    <n v="12.587412587412587"/>
    <n v="-2.2397499813974309E-2"/>
    <n v="65.950666824029142"/>
    <n v="84.516129032258064"/>
    <n v="76.679340937896058"/>
    <n v="65.821747217755927"/>
    <n v="47.760250018602569"/>
    <n v="95.495495495495504"/>
    <x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7A0446-E491-42FC-A5DB-1808292936D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10" firstHeaderRow="1" firstDataRow="1" firstDataCol="1" rowPageCount="1" colPageCount="1"/>
  <pivotFields count="30">
    <pivotField showAll="0"/>
    <pivotField showAll="0"/>
    <pivotField axis="axisRow" showAll="0" sortType="descending">
      <items count="25">
        <item x="1"/>
        <item x="23"/>
        <item x="3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22"/>
        <item x="17"/>
        <item x="18"/>
        <item x="0"/>
        <item x="19"/>
        <item x="20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2" showAll="0"/>
    <pivotField numFmtId="167" showAll="0"/>
    <pivotField numFmtId="1" showAll="0"/>
    <pivotField showAll="0"/>
    <pivotField showAll="0"/>
    <pivotField showAll="0"/>
    <pivotField showAll="0"/>
    <pivotField showAll="0"/>
    <pivotField numFmtId="2" showAll="0"/>
    <pivotField showAll="0"/>
    <pivotField numFmtId="165" showAll="0"/>
    <pivotField showAll="0"/>
    <pivotField axis="axisPage" multipleItemSelectionAllowed="1" showAll="0">
      <items count="5">
        <item x="3"/>
        <item h="1" x="1"/>
        <item h="1" x="0"/>
        <item h="1" x="2"/>
        <item t="default"/>
      </items>
    </pivotField>
    <pivotField showAll="0"/>
    <pivotField numFmtId="166" showAll="0"/>
    <pivotField numFmtId="2" showAll="0"/>
    <pivotField numFmtId="2" showAll="0"/>
    <pivotField numFmtId="2" showAll="0"/>
    <pivotField numFmtId="167" showAll="0"/>
    <pivotField numFmtId="167" showAll="0"/>
    <pivotField numFmtId="167" showAll="0"/>
    <pivotField numFmtId="167" showAll="0"/>
    <pivotField numFmtId="2" showAll="0"/>
    <pivotField numFmtId="167" showAll="0"/>
    <pivotField dataField="1" numFmtId="167" showAll="0">
      <items count="25">
        <item x="23"/>
        <item x="2"/>
        <item x="15"/>
        <item x="21"/>
        <item x="13"/>
        <item x="9"/>
        <item x="1"/>
        <item x="16"/>
        <item x="17"/>
        <item x="19"/>
        <item x="7"/>
        <item x="8"/>
        <item x="4"/>
        <item x="10"/>
        <item x="5"/>
        <item x="20"/>
        <item x="3"/>
        <item x="12"/>
        <item x="6"/>
        <item x="14"/>
        <item x="22"/>
        <item x="18"/>
        <item x="0"/>
        <item x="11"/>
        <item t="default"/>
      </items>
    </pivotField>
  </pivotFields>
  <rowFields count="1">
    <field x="2"/>
  </rowFields>
  <rowItems count="7">
    <i>
      <x v="11"/>
    </i>
    <i>
      <x v="14"/>
    </i>
    <i>
      <x v="12"/>
    </i>
    <i>
      <x v="10"/>
    </i>
    <i>
      <x v="4"/>
    </i>
    <i>
      <x v="9"/>
    </i>
    <i t="grand">
      <x/>
    </i>
  </rowItems>
  <colItems count="1">
    <i/>
  </colItems>
  <pageFields count="1">
    <pageField fld="17" hier="-1"/>
  </pageFields>
  <dataFields count="1">
    <dataField name="Average of MASTER SCORE" fld="29" subtotal="average" baseField="2" baseItem="11" numFmtId="167"/>
  </dataFields>
  <chartFormats count="1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81489C-B667-471F-B90C-7526A12AFC0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0" firstHeaderRow="1" firstDataRow="1" firstDataCol="1" rowPageCount="1" colPageCount="1"/>
  <pivotFields count="30">
    <pivotField showAll="0"/>
    <pivotField showAll="0"/>
    <pivotField axis="axisRow" showAll="0" sortType="descending">
      <items count="25">
        <item x="1"/>
        <item x="23"/>
        <item x="3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22"/>
        <item x="17"/>
        <item x="18"/>
        <item x="0"/>
        <item x="19"/>
        <item x="20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2" showAll="0"/>
    <pivotField numFmtId="167" showAll="0"/>
    <pivotField numFmtId="1" showAll="0"/>
    <pivotField showAll="0"/>
    <pivotField showAll="0"/>
    <pivotField showAll="0"/>
    <pivotField showAll="0"/>
    <pivotField showAll="0"/>
    <pivotField numFmtId="2" showAll="0"/>
    <pivotField showAll="0"/>
    <pivotField numFmtId="165" showAll="0"/>
    <pivotField showAll="0"/>
    <pivotField axis="axisPage" showAll="0">
      <items count="5">
        <item x="3"/>
        <item x="1"/>
        <item x="0"/>
        <item x="2"/>
        <item t="default"/>
      </items>
    </pivotField>
    <pivotField showAll="0"/>
    <pivotField numFmtId="166" showAll="0"/>
    <pivotField numFmtId="2" showAll="0"/>
    <pivotField numFmtId="2" showAll="0"/>
    <pivotField numFmtId="2" showAll="0"/>
    <pivotField numFmtId="167" showAll="0"/>
    <pivotField numFmtId="167" showAll="0"/>
    <pivotField numFmtId="167" showAll="0"/>
    <pivotField numFmtId="167" showAll="0"/>
    <pivotField numFmtId="2" showAll="0"/>
    <pivotField numFmtId="167" showAll="0"/>
    <pivotField dataField="1" numFmtId="167" showAll="0"/>
  </pivotFields>
  <rowFields count="1">
    <field x="2"/>
  </rowFields>
  <rowItems count="7">
    <i>
      <x v="19"/>
    </i>
    <i>
      <x v="21"/>
    </i>
    <i>
      <x/>
    </i>
    <i>
      <x v="23"/>
    </i>
    <i>
      <x v="15"/>
    </i>
    <i>
      <x v="3"/>
    </i>
    <i t="grand">
      <x/>
    </i>
  </rowItems>
  <colItems count="1">
    <i/>
  </colItems>
  <pageFields count="1">
    <pageField fld="17" item="1" hier="-1"/>
  </pageFields>
  <dataFields count="1">
    <dataField name="Sum of MASTER SCORE" fld="29" baseField="0" baseItem="0" numFmtId="167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572FA4-F784-4063-8A88-473D22AC2CA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0" firstHeaderRow="1" firstDataRow="1" firstDataCol="1" rowPageCount="1" colPageCount="1"/>
  <pivotFields count="30">
    <pivotField showAll="0"/>
    <pivotField showAll="0"/>
    <pivotField axis="axisRow" showAll="0" sortType="descending">
      <items count="25">
        <item x="1"/>
        <item x="23"/>
        <item x="3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22"/>
        <item x="17"/>
        <item x="18"/>
        <item x="0"/>
        <item x="19"/>
        <item x="20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2" showAll="0"/>
    <pivotField numFmtId="167" showAll="0"/>
    <pivotField numFmtId="1" showAll="0"/>
    <pivotField showAll="0"/>
    <pivotField showAll="0"/>
    <pivotField showAll="0"/>
    <pivotField showAll="0"/>
    <pivotField showAll="0"/>
    <pivotField numFmtId="2" showAll="0"/>
    <pivotField showAll="0"/>
    <pivotField numFmtId="165" showAll="0"/>
    <pivotField showAll="0"/>
    <pivotField axis="axisPage" showAll="0">
      <items count="5">
        <item x="3"/>
        <item x="1"/>
        <item x="0"/>
        <item x="2"/>
        <item t="default"/>
      </items>
    </pivotField>
    <pivotField showAll="0"/>
    <pivotField numFmtId="166" showAll="0"/>
    <pivotField numFmtId="2" showAll="0"/>
    <pivotField numFmtId="2" showAll="0"/>
    <pivotField numFmtId="2" showAll="0"/>
    <pivotField numFmtId="167" showAll="0"/>
    <pivotField numFmtId="167" showAll="0"/>
    <pivotField numFmtId="167" showAll="0"/>
    <pivotField numFmtId="167" showAll="0"/>
    <pivotField numFmtId="2" showAll="0"/>
    <pivotField numFmtId="167" showAll="0"/>
    <pivotField dataField="1" numFmtId="167" showAll="0"/>
  </pivotFields>
  <rowFields count="1">
    <field x="2"/>
  </rowFields>
  <rowItems count="7">
    <i>
      <x v="20"/>
    </i>
    <i>
      <x v="22"/>
    </i>
    <i>
      <x v="7"/>
    </i>
    <i>
      <x v="18"/>
    </i>
    <i>
      <x v="16"/>
    </i>
    <i>
      <x v="13"/>
    </i>
    <i t="grand">
      <x/>
    </i>
  </rowItems>
  <colItems count="1">
    <i/>
  </colItems>
  <pageFields count="1">
    <pageField fld="17" item="2" hier="-1"/>
  </pageFields>
  <dataFields count="1">
    <dataField name="Sum of MASTER SCORE" fld="29" baseField="0" baseItem="0" numFmtId="167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F262E3-FB89-42F6-8718-CA9B9F31830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0" firstHeaderRow="1" firstDataRow="1" firstDataCol="1" rowPageCount="1" colPageCount="1"/>
  <pivotFields count="30">
    <pivotField showAll="0"/>
    <pivotField showAll="0"/>
    <pivotField axis="axisRow" showAll="0" sortType="descending">
      <items count="25">
        <item x="1"/>
        <item x="23"/>
        <item x="3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22"/>
        <item x="17"/>
        <item x="18"/>
        <item x="0"/>
        <item x="19"/>
        <item x="20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2" showAll="0"/>
    <pivotField numFmtId="167" showAll="0"/>
    <pivotField numFmtId="1" showAll="0"/>
    <pivotField showAll="0"/>
    <pivotField showAll="0"/>
    <pivotField showAll="0"/>
    <pivotField showAll="0"/>
    <pivotField showAll="0"/>
    <pivotField numFmtId="2" showAll="0"/>
    <pivotField showAll="0"/>
    <pivotField numFmtId="165" showAll="0"/>
    <pivotField showAll="0"/>
    <pivotField axis="axisPage" showAll="0">
      <items count="5">
        <item x="3"/>
        <item x="1"/>
        <item x="0"/>
        <item x="2"/>
        <item t="default"/>
      </items>
    </pivotField>
    <pivotField showAll="0"/>
    <pivotField numFmtId="166" showAll="0"/>
    <pivotField numFmtId="2" showAll="0"/>
    <pivotField numFmtId="2" showAll="0"/>
    <pivotField numFmtId="2" showAll="0"/>
    <pivotField numFmtId="167" showAll="0"/>
    <pivotField numFmtId="167" showAll="0"/>
    <pivotField numFmtId="167" showAll="0"/>
    <pivotField numFmtId="167" showAll="0"/>
    <pivotField numFmtId="2" showAll="0"/>
    <pivotField numFmtId="167" showAll="0"/>
    <pivotField dataField="1" numFmtId="167" showAll="0"/>
  </pivotFields>
  <rowFields count="1">
    <field x="2"/>
  </rowFields>
  <rowItems count="7">
    <i>
      <x v="17"/>
    </i>
    <i>
      <x v="6"/>
    </i>
    <i>
      <x v="2"/>
    </i>
    <i>
      <x v="5"/>
    </i>
    <i>
      <x v="8"/>
    </i>
    <i>
      <x v="1"/>
    </i>
    <i t="grand">
      <x/>
    </i>
  </rowItems>
  <colItems count="1">
    <i/>
  </colItems>
  <pageFields count="1">
    <pageField fld="17" item="3" hier="-1"/>
  </pageFields>
  <dataFields count="1">
    <dataField name="Sum of MASTER SCORE" fld="29" baseField="0" baseItem="0" numFmtId="167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7182E6-F63C-4794-B5A7-3F3719A37D36}" name="Table1" displayName="Table1" ref="A1:Q25" totalsRowShown="0">
  <autoFilter ref="A1:Q25" xr:uid="{2B7182E6-F63C-4794-B5A7-3F3719A37D36}">
    <filterColumn colId="0">
      <filters>
        <filter val="Hyundai"/>
        <filter val="Renault"/>
      </filters>
    </filterColumn>
    <filterColumn colId="16">
      <filters>
        <filter val="Duel 4 Renault"/>
        <filter val="Duel 4 Rival"/>
      </filters>
    </filterColumn>
  </autoFilter>
  <tableColumns count="17">
    <tableColumn id="1" xr3:uid="{C387B8E0-6D6C-4CCC-ABD0-6D937FE674FC}" name="brand" dataDxfId="16"/>
    <tableColumn id="2" xr3:uid="{395CB547-4D92-4404-92D6-2F4E077FEEAB}" name="model" dataDxfId="15"/>
    <tableColumn id="4" xr3:uid="{53CF8134-F8FB-4F96-9ADC-CD8AEFB52D30}" name="Battery Net (kWh)" dataDxfId="14"/>
    <tableColumn id="8" xr3:uid="{7C856677-D368-43EB-A2DC-0E6012EF4A14}" name="Eff. (Wh/km)" dataDxfId="13"/>
    <tableColumn id="9" xr3:uid="{4CA7C155-2401-4DAD-87D2-E15139791162}" name="Range (WLTP)" dataDxfId="12"/>
    <tableColumn id="10" xr3:uid="{1147F1E9-86E2-43B6-B0E4-4899085D7047}" name="0-100 (sec)" dataDxfId="11"/>
    <tableColumn id="11" xr3:uid="{C8E5C916-8698-47D7-B64F-ED68B144BD0A}" name="DC Charge (kW)" dataDxfId="10"/>
    <tableColumn id="17" xr3:uid="{DD36F4D1-BC8B-48BD-8767-EAC1C001B140}" name="Segment" dataDxfId="9"/>
    <tableColumn id="21" xr3:uid="{2A96C092-8BEB-439A-B058-C78CD9271EA9}" name="Body Type" dataDxfId="8"/>
    <tableColumn id="15" xr3:uid="{70154899-128A-4ED3-ABB0-2964A48CA2EF}" name="Charge 10-80%" dataDxfId="7"/>
    <tableColumn id="7" xr3:uid="{876E4D30-1497-4A4D-BDF0-8CC0FDE7168F}" name="Boot (L)" dataDxfId="6"/>
    <tableColumn id="12" xr3:uid="{D0696A55-A11F-4696-A04F-80B884E31697}" name="Heat Pump" dataDxfId="5"/>
    <tableColumn id="13" xr3:uid="{69D01E6E-2276-4355-8A48-6789D5927ED5}" name="Turn Circle (m)" dataDxfId="4"/>
    <tableColumn id="14" xr3:uid="{9891AE10-B105-4F1B-960B-18E77BCEAC30}" name="V2L" dataDxfId="3"/>
    <tableColumn id="3" xr3:uid="{0A4D1AA7-4F79-46AA-B35C-B80F10789C43}" name="Price (euro)" dataDxfId="2"/>
    <tableColumn id="5" xr3:uid="{24C29A61-AEB4-41E9-B86E-1493E0CD1C03}" name="Weight (kg)" dataDxfId="1"/>
    <tableColumn id="6" xr3:uid="{451F8C5A-C51D-49C6-A645-60067A436DAE}" name="Duel_Category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55441F-D305-474E-95AB-019223251265}" name="Table13" displayName="Table13" ref="A1:AD25" totalsRowShown="0">
  <autoFilter ref="A1:AD25" xr:uid="{2B7182E6-F63C-4794-B5A7-3F3719A37D36}">
    <filterColumn colId="2">
      <filters>
        <filter val="Hyundai INSTER Long Range"/>
        <filter val="Renault Twingo E-Tech"/>
      </filters>
    </filterColumn>
    <filterColumn colId="17">
      <filters>
        <filter val="Duel 4"/>
      </filters>
    </filterColumn>
  </autoFilter>
  <tableColumns count="30">
    <tableColumn id="1" xr3:uid="{C6FCDFB2-33BB-43E8-8626-CB024E74476C}" name="brand" dataDxfId="46"/>
    <tableColumn id="2" xr3:uid="{DCFB557B-B473-472C-9A82-B8BB69122EB1}" name="model" dataDxfId="45"/>
    <tableColumn id="24" xr3:uid="{3194A840-2818-4E48-9237-27B3C4F92A97}" name="Full_Model_Name" dataDxfId="44"/>
    <tableColumn id="4" xr3:uid="{A614211A-A496-4F05-B560-DD9EFA4B2B2B}" name="Battery Net (kWh)" dataDxfId="43"/>
    <tableColumn id="8" xr3:uid="{B4202938-E32B-4ADE-9415-7725888101F6}" name="Eff. (Wh/km)" dataDxfId="42"/>
    <tableColumn id="9" xr3:uid="{CA18E246-78C9-4418-B0B0-94B408A3DD0E}" name="Range (WLTP)" dataDxfId="41"/>
    <tableColumn id="10" xr3:uid="{5998E7A2-E59A-4F28-B61A-321F96B78A4A}" name="0-100 (sec)" dataDxfId="40"/>
    <tableColumn id="11" xr3:uid="{DAABCEB1-43CE-41E1-BF23-34FF08B2CA3C}" name="DC Charge (kW)" dataDxfId="39"/>
    <tableColumn id="17" xr3:uid="{F7F0798D-E33E-4D7F-9BCA-627BE37B7B1B}" name="Segment" dataDxfId="38"/>
    <tableColumn id="21" xr3:uid="{720F35C6-CA0E-47AE-89A7-3FAFE6D75ADC}" name="Body Type" dataDxfId="37"/>
    <tableColumn id="15" xr3:uid="{08F1E67F-3121-4DAF-81C7-20142F9E5521}" name="Charge 10-80%" dataDxfId="36"/>
    <tableColumn id="7" xr3:uid="{3779298F-75E5-484D-AE07-99C1247856DE}" name="Boot (L)" dataDxfId="35"/>
    <tableColumn id="12" xr3:uid="{0D4F23AB-C9ED-4566-BADE-242F4D8D9ABD}" name="Heat Pump" dataDxfId="34"/>
    <tableColumn id="13" xr3:uid="{404A30E9-A5C0-468F-8309-84BB88C636A3}" name="Turn Circle (m)" dataDxfId="33"/>
    <tableColumn id="14" xr3:uid="{2F21F2FA-E25F-4E4D-9903-33733E992E37}" name="V2L" dataDxfId="32"/>
    <tableColumn id="3" xr3:uid="{D099C631-6FCA-4718-9190-DF966084383B}" name="Price (euro)" dataDxfId="31"/>
    <tableColumn id="5" xr3:uid="{DFEA4524-25B9-41A5-A7D7-DE77563F2425}" name="Weight (kg)" dataDxfId="30"/>
    <tableColumn id="6" xr3:uid="{9581856D-001A-40CD-A7BD-0E880F2AD227}" name="Duel_Category" dataDxfId="29"/>
    <tableColumn id="32" xr3:uid="{1D5B98CE-69E1-44BF-95B8-E436F9CE8026}" name="Value For Money (VFM)" dataDxfId="28"/>
    <tableColumn id="22" xr3:uid="{F1BAEC9B-E57D-479E-9EC8-2152E0CF9ECE}" name="Running Cost (euro/100km)" dataDxfId="27"/>
    <tableColumn id="25" xr3:uid="{2FC27C66-613D-4EC2-B5F6-6DACC79C5E45}" name="Range Eff. (km/kWh)" dataDxfId="26"/>
    <tableColumn id="26" xr3:uid="{C2D7D9FB-A3F4-48D2-A1D3-223731AD7D2F}" name="Charge Time for 100km" dataDxfId="25"/>
    <tableColumn id="18" xr3:uid="{1689803A-9294-41BF-BB58-0242CACD897C}" name="Price Advantage %" dataDxfId="24" dataCellStyle="Percent"/>
    <tableColumn id="33" xr3:uid="{1CB63D37-4A18-4414-BAB7-F7B7425D6EAA}" name="VFM_Score" dataDxfId="23" dataCellStyle="Percent">
      <calculatedColumnFormula>(S2 / _xlfn.MAXIFS($S$2:$S$25,$R$2:$R$25,R2)) * 100</calculatedColumnFormula>
    </tableColumn>
    <tableColumn id="23" xr3:uid="{732C47A6-0BDC-4479-B3CC-F61C67CCD4B4}" name="RunCost_Score" dataDxfId="22">
      <calculatedColumnFormula>(_xlfn.MINIFS($T$2:$T$25, $R$2:$R$25, R2) / T2) * 100</calculatedColumnFormula>
    </tableColumn>
    <tableColumn id="27" xr3:uid="{3684698F-FD7A-4695-9CB9-19C8070A12A7}" name="Eff_Score" dataDxfId="21">
      <calculatedColumnFormula>(U2 / _xlfn.MAXIFS($U$2:$U$25, $R$2:$R$25, R2)) * 100</calculatedColumnFormula>
    </tableColumn>
    <tableColumn id="28" xr3:uid="{CAD14B98-A864-4F31-929E-F7CA812BF79F}" name="Charge_Score" dataDxfId="20">
      <calculatedColumnFormula>(_xlfn.MINIFS($V$2:$V$25, $R$2:$R$25, R2) / V2) * 100</calculatedColumnFormula>
    </tableColumn>
    <tableColumn id="29" xr3:uid="{BA7AE0A1-F187-434D-AE9C-64BBAFF65F0A}" name="Price_Score" dataDxfId="19">
      <calculatedColumnFormula>50+(W2 * 100)</calculatedColumnFormula>
    </tableColumn>
    <tableColumn id="30" xr3:uid="{001825CF-D825-4E45-B559-EC8501958149}" name="Acc_Score" dataDxfId="18">
      <calculatedColumnFormula>(_xlfn.MINIFS($G$2:$G$25, $R$2:$R$25, R2) / G2) * 100</calculatedColumnFormula>
    </tableColumn>
    <tableColumn id="16" xr3:uid="{F3F9E4B1-DFEB-466E-BCDD-036841A4F770}" name="MASTER SCORE" dataDxfId="17">
      <calculatedColumnFormula>(X2 * 0.2) + (Y2 * 0.1) + (Z2 * 0.15) + (AA2 * 0.15) + (AB2 * 0.25) + (AC2 *0.15)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54549-CFA3-4F32-A0AC-D991F731E324}">
  <dimension ref="A1:Q37"/>
  <sheetViews>
    <sheetView topLeftCell="J1" zoomScale="85" zoomScaleNormal="85" workbookViewId="0">
      <selection activeCell="M28" sqref="M28"/>
    </sheetView>
  </sheetViews>
  <sheetFormatPr defaultColWidth="27.85546875" defaultRowHeight="15" x14ac:dyDescent="0.25"/>
  <cols>
    <col min="1" max="1" width="12.28515625" bestFit="1" customWidth="1"/>
    <col min="2" max="2" width="34.7109375" bestFit="1" customWidth="1"/>
    <col min="3" max="3" width="27.85546875" style="2"/>
    <col min="4" max="4" width="27.85546875" style="5"/>
    <col min="5" max="5" width="27.85546875" style="2"/>
    <col min="6" max="6" width="27.85546875" style="6"/>
    <col min="7" max="7" width="20" style="2" bestFit="1" customWidth="1"/>
    <col min="8" max="8" width="0" style="2" hidden="1" customWidth="1"/>
    <col min="9" max="9" width="15.28515625" style="3" bestFit="1" customWidth="1"/>
    <col min="10" max="11" width="27.85546875" style="3"/>
    <col min="12" max="12" width="16.42578125" style="3" customWidth="1"/>
    <col min="13" max="13" width="14" style="5" customWidth="1"/>
    <col min="14" max="14" width="9.5703125" style="3" bestFit="1" customWidth="1"/>
    <col min="15" max="15" width="27.85546875" style="7"/>
    <col min="17" max="17" width="27.85546875" style="3"/>
  </cols>
  <sheetData>
    <row r="1" spans="1:17" x14ac:dyDescent="0.25">
      <c r="A1" t="s">
        <v>0</v>
      </c>
      <c r="B1" t="s">
        <v>1</v>
      </c>
      <c r="C1" s="2" t="s">
        <v>81</v>
      </c>
      <c r="D1" s="2" t="s">
        <v>82</v>
      </c>
      <c r="E1" s="5" t="s">
        <v>80</v>
      </c>
      <c r="F1" s="2" t="s">
        <v>84</v>
      </c>
      <c r="G1" s="6" t="s">
        <v>85</v>
      </c>
      <c r="H1" s="1" t="s">
        <v>88</v>
      </c>
      <c r="I1" s="2" t="s">
        <v>87</v>
      </c>
      <c r="J1" s="2" t="s">
        <v>99</v>
      </c>
      <c r="K1" s="2" t="s">
        <v>90</v>
      </c>
      <c r="L1" s="2" t="s">
        <v>89</v>
      </c>
      <c r="M1" s="5" t="s">
        <v>91</v>
      </c>
      <c r="N1" s="2" t="s">
        <v>92</v>
      </c>
      <c r="O1" s="7" t="s">
        <v>86</v>
      </c>
      <c r="P1" s="2" t="s">
        <v>83</v>
      </c>
      <c r="Q1" s="2" t="s">
        <v>79</v>
      </c>
    </row>
    <row r="2" spans="1:17" hidden="1" x14ac:dyDescent="0.25">
      <c r="A2" s="9" t="s">
        <v>40</v>
      </c>
      <c r="B2" s="9" t="s">
        <v>105</v>
      </c>
      <c r="C2" s="10">
        <v>79</v>
      </c>
      <c r="D2" s="10">
        <v>142</v>
      </c>
      <c r="E2" s="11">
        <v>661</v>
      </c>
      <c r="F2" s="10">
        <v>5.6</v>
      </c>
      <c r="G2" s="12">
        <v>250</v>
      </c>
      <c r="H2" s="10" t="s">
        <v>6</v>
      </c>
      <c r="I2" s="10" t="s">
        <v>5</v>
      </c>
      <c r="J2" s="10">
        <v>28</v>
      </c>
      <c r="K2" s="10">
        <v>500</v>
      </c>
      <c r="L2" s="10" t="s">
        <v>93</v>
      </c>
      <c r="M2" s="11">
        <v>12.1</v>
      </c>
      <c r="N2" s="10" t="s">
        <v>94</v>
      </c>
      <c r="O2" s="13">
        <v>50970</v>
      </c>
      <c r="P2" s="10">
        <v>1976</v>
      </c>
      <c r="Q2" s="10" t="s">
        <v>75</v>
      </c>
    </row>
    <row r="3" spans="1:17" hidden="1" x14ac:dyDescent="0.25">
      <c r="A3" s="14" t="s">
        <v>9</v>
      </c>
      <c r="B3" s="14" t="s">
        <v>11</v>
      </c>
      <c r="C3" s="15">
        <v>60.5</v>
      </c>
      <c r="D3" s="15">
        <v>159</v>
      </c>
      <c r="E3" s="16">
        <v>427</v>
      </c>
      <c r="F3" s="15">
        <v>7</v>
      </c>
      <c r="G3" s="17">
        <v>110</v>
      </c>
      <c r="H3" s="15" t="s">
        <v>10</v>
      </c>
      <c r="I3" s="15" t="s">
        <v>3</v>
      </c>
      <c r="J3" s="15">
        <v>36</v>
      </c>
      <c r="K3" s="15">
        <v>345</v>
      </c>
      <c r="L3" s="15" t="s">
        <v>93</v>
      </c>
      <c r="M3" s="16">
        <v>10.5</v>
      </c>
      <c r="N3" s="15" t="s">
        <v>93</v>
      </c>
      <c r="O3" s="18">
        <v>34640</v>
      </c>
      <c r="P3" s="15">
        <v>1733</v>
      </c>
      <c r="Q3" s="15" t="s">
        <v>73</v>
      </c>
    </row>
    <row r="4" spans="1:17" hidden="1" x14ac:dyDescent="0.25">
      <c r="A4" s="14" t="s">
        <v>12</v>
      </c>
      <c r="B4" s="14" t="s">
        <v>13</v>
      </c>
      <c r="C4" s="15">
        <v>59</v>
      </c>
      <c r="D4" s="15">
        <v>156</v>
      </c>
      <c r="E4" s="16">
        <v>427</v>
      </c>
      <c r="F4" s="15">
        <v>6.7</v>
      </c>
      <c r="G4" s="17">
        <v>165</v>
      </c>
      <c r="H4" s="15" t="s">
        <v>10</v>
      </c>
      <c r="I4" s="15" t="s">
        <v>3</v>
      </c>
      <c r="J4" s="15">
        <v>24</v>
      </c>
      <c r="K4" s="15">
        <v>385</v>
      </c>
      <c r="L4" s="15" t="s">
        <v>93</v>
      </c>
      <c r="M4" s="16">
        <v>10.199999999999999</v>
      </c>
      <c r="N4" s="15" t="s">
        <v>94</v>
      </c>
      <c r="O4" s="18">
        <v>41450</v>
      </c>
      <c r="P4" s="15">
        <v>1841</v>
      </c>
      <c r="Q4" s="15" t="s">
        <v>73</v>
      </c>
    </row>
    <row r="5" spans="1:17" hidden="1" x14ac:dyDescent="0.25">
      <c r="A5" s="19" t="s">
        <v>14</v>
      </c>
      <c r="B5" s="19" t="s">
        <v>15</v>
      </c>
      <c r="C5" s="20">
        <v>43.8</v>
      </c>
      <c r="D5" s="20">
        <v>164</v>
      </c>
      <c r="E5" s="21">
        <v>327</v>
      </c>
      <c r="F5" s="20">
        <v>11.5</v>
      </c>
      <c r="G5" s="22">
        <v>97</v>
      </c>
      <c r="H5" s="20" t="s">
        <v>2</v>
      </c>
      <c r="I5" s="20" t="s">
        <v>3</v>
      </c>
      <c r="J5" s="20">
        <v>31</v>
      </c>
      <c r="K5" s="20">
        <v>310</v>
      </c>
      <c r="L5" s="20" t="s">
        <v>94</v>
      </c>
      <c r="M5" s="21">
        <v>10.3</v>
      </c>
      <c r="N5" s="20" t="s">
        <v>94</v>
      </c>
      <c r="O5" s="23">
        <v>23300</v>
      </c>
      <c r="P5" s="20">
        <v>1491</v>
      </c>
      <c r="Q5" s="20" t="s">
        <v>77</v>
      </c>
    </row>
    <row r="6" spans="1:17" hidden="1" x14ac:dyDescent="0.25">
      <c r="A6" s="24" t="s">
        <v>17</v>
      </c>
      <c r="B6" s="24" t="s">
        <v>18</v>
      </c>
      <c r="C6" s="25">
        <v>37.299999999999997</v>
      </c>
      <c r="D6" s="25">
        <v>140</v>
      </c>
      <c r="E6" s="26">
        <v>333</v>
      </c>
      <c r="F6" s="25">
        <v>9</v>
      </c>
      <c r="G6" s="27">
        <v>85</v>
      </c>
      <c r="H6" s="25" t="s">
        <v>2</v>
      </c>
      <c r="I6" s="25" t="s">
        <v>3</v>
      </c>
      <c r="J6" s="25">
        <v>25</v>
      </c>
      <c r="K6" s="25">
        <v>185</v>
      </c>
      <c r="L6" s="25" t="s">
        <v>94</v>
      </c>
      <c r="M6" s="26">
        <v>9.6999999999999993</v>
      </c>
      <c r="N6" s="25" t="s">
        <v>94</v>
      </c>
      <c r="O6" s="28">
        <v>34990</v>
      </c>
      <c r="P6" s="25">
        <v>1365</v>
      </c>
      <c r="Q6" s="25" t="s">
        <v>71</v>
      </c>
    </row>
    <row r="7" spans="1:17" hidden="1" x14ac:dyDescent="0.25">
      <c r="A7" s="19" t="s">
        <v>17</v>
      </c>
      <c r="B7" s="19" t="s">
        <v>19</v>
      </c>
      <c r="C7" s="20">
        <v>43.8</v>
      </c>
      <c r="D7" s="20">
        <v>167</v>
      </c>
      <c r="E7" s="21">
        <v>322</v>
      </c>
      <c r="F7" s="20">
        <v>11</v>
      </c>
      <c r="G7" s="22">
        <v>97</v>
      </c>
      <c r="H7" s="20" t="s">
        <v>2</v>
      </c>
      <c r="I7" s="20" t="s">
        <v>3</v>
      </c>
      <c r="J7" s="20">
        <v>31</v>
      </c>
      <c r="K7" s="20">
        <v>361</v>
      </c>
      <c r="L7" s="20" t="s">
        <v>93</v>
      </c>
      <c r="M7" s="21">
        <v>10.9</v>
      </c>
      <c r="N7" s="20" t="s">
        <v>94</v>
      </c>
      <c r="O7" s="23">
        <v>24990</v>
      </c>
      <c r="P7" s="20">
        <v>1511</v>
      </c>
      <c r="Q7" s="20" t="s">
        <v>77</v>
      </c>
    </row>
    <row r="8" spans="1:17" x14ac:dyDescent="0.25">
      <c r="A8" s="19" t="s">
        <v>20</v>
      </c>
      <c r="B8" s="19" t="s">
        <v>21</v>
      </c>
      <c r="C8" s="20">
        <v>46</v>
      </c>
      <c r="D8" s="20">
        <v>149</v>
      </c>
      <c r="E8" s="21">
        <v>370</v>
      </c>
      <c r="F8" s="20">
        <v>10.6</v>
      </c>
      <c r="G8" s="22">
        <v>85</v>
      </c>
      <c r="H8" s="20" t="s">
        <v>22</v>
      </c>
      <c r="I8" s="20" t="s">
        <v>5</v>
      </c>
      <c r="J8" s="20">
        <v>29</v>
      </c>
      <c r="K8" s="20">
        <v>351</v>
      </c>
      <c r="L8" s="20" t="s">
        <v>93</v>
      </c>
      <c r="M8" s="21">
        <v>10.6</v>
      </c>
      <c r="N8" s="20" t="s">
        <v>93</v>
      </c>
      <c r="O8" s="23">
        <v>25400</v>
      </c>
      <c r="P8" s="20">
        <v>1410</v>
      </c>
      <c r="Q8" s="20" t="s">
        <v>77</v>
      </c>
    </row>
    <row r="9" spans="1:17" hidden="1" x14ac:dyDescent="0.25">
      <c r="A9" s="9" t="s">
        <v>20</v>
      </c>
      <c r="B9" s="9" t="s">
        <v>47</v>
      </c>
      <c r="C9" s="10">
        <v>80</v>
      </c>
      <c r="D9" s="10">
        <v>160</v>
      </c>
      <c r="E9" s="11">
        <v>570</v>
      </c>
      <c r="F9" s="10">
        <v>7.5</v>
      </c>
      <c r="G9" s="12">
        <v>263</v>
      </c>
      <c r="H9" s="10" t="s">
        <v>8</v>
      </c>
      <c r="I9" s="10" t="s">
        <v>5</v>
      </c>
      <c r="J9" s="10">
        <v>18</v>
      </c>
      <c r="K9" s="10">
        <v>520</v>
      </c>
      <c r="L9" s="10" t="s">
        <v>93</v>
      </c>
      <c r="M9" s="11">
        <v>12</v>
      </c>
      <c r="N9" s="10" t="s">
        <v>93</v>
      </c>
      <c r="O9" s="13">
        <v>51650</v>
      </c>
      <c r="P9" s="10">
        <v>2060</v>
      </c>
      <c r="Q9" s="10" t="s">
        <v>75</v>
      </c>
    </row>
    <row r="10" spans="1:17" hidden="1" x14ac:dyDescent="0.25">
      <c r="A10" s="19" t="s">
        <v>23</v>
      </c>
      <c r="B10" s="19" t="s">
        <v>24</v>
      </c>
      <c r="C10" s="20">
        <v>36</v>
      </c>
      <c r="D10" s="20">
        <v>163</v>
      </c>
      <c r="E10" s="21">
        <v>265</v>
      </c>
      <c r="F10" s="20">
        <v>12.7</v>
      </c>
      <c r="G10" s="22">
        <v>48</v>
      </c>
      <c r="H10" s="20" t="s">
        <v>16</v>
      </c>
      <c r="I10" s="20" t="s">
        <v>3</v>
      </c>
      <c r="J10" s="20">
        <v>53</v>
      </c>
      <c r="K10" s="20">
        <v>210</v>
      </c>
      <c r="L10" s="20" t="s">
        <v>94</v>
      </c>
      <c r="M10" s="21">
        <v>9.6999999999999993</v>
      </c>
      <c r="N10" s="20" t="s">
        <v>94</v>
      </c>
      <c r="O10" s="23">
        <v>18900</v>
      </c>
      <c r="P10" s="20">
        <v>1250</v>
      </c>
      <c r="Q10" s="20" t="s">
        <v>77</v>
      </c>
    </row>
    <row r="11" spans="1:17" hidden="1" x14ac:dyDescent="0.25">
      <c r="A11" s="24" t="s">
        <v>25</v>
      </c>
      <c r="B11" s="24" t="s">
        <v>26</v>
      </c>
      <c r="C11" s="25">
        <v>50.8</v>
      </c>
      <c r="D11" s="25">
        <v>167</v>
      </c>
      <c r="E11" s="26">
        <v>353</v>
      </c>
      <c r="F11" s="25">
        <v>7.7</v>
      </c>
      <c r="G11" s="27">
        <v>87</v>
      </c>
      <c r="H11" s="25" t="s">
        <v>10</v>
      </c>
      <c r="I11" s="25" t="s">
        <v>3</v>
      </c>
      <c r="J11" s="25">
        <v>35</v>
      </c>
      <c r="K11" s="25">
        <v>363</v>
      </c>
      <c r="L11" s="25" t="s">
        <v>94</v>
      </c>
      <c r="M11" s="26">
        <v>10.6</v>
      </c>
      <c r="N11" s="25" t="s">
        <v>93</v>
      </c>
      <c r="O11" s="28">
        <v>34990</v>
      </c>
      <c r="P11" s="25">
        <v>1710</v>
      </c>
      <c r="Q11" s="25" t="s">
        <v>71</v>
      </c>
    </row>
    <row r="12" spans="1:17" hidden="1" x14ac:dyDescent="0.25">
      <c r="A12" s="24" t="s">
        <v>27</v>
      </c>
      <c r="B12" s="24" t="s">
        <v>28</v>
      </c>
      <c r="C12" s="25">
        <v>36.6</v>
      </c>
      <c r="D12" s="25">
        <v>138</v>
      </c>
      <c r="E12" s="26">
        <v>305</v>
      </c>
      <c r="F12" s="25">
        <v>7.3</v>
      </c>
      <c r="G12" s="27">
        <v>70</v>
      </c>
      <c r="H12" s="25" t="s">
        <v>2</v>
      </c>
      <c r="I12" s="25" t="s">
        <v>3</v>
      </c>
      <c r="J12" s="25">
        <v>27</v>
      </c>
      <c r="K12" s="25">
        <v>200</v>
      </c>
      <c r="L12" s="25" t="s">
        <v>93</v>
      </c>
      <c r="M12" s="26">
        <v>10.7</v>
      </c>
      <c r="N12" s="25" t="s">
        <v>94</v>
      </c>
      <c r="O12" s="28">
        <v>32900</v>
      </c>
      <c r="P12" s="25">
        <v>1615</v>
      </c>
      <c r="Q12" s="25" t="s">
        <v>71</v>
      </c>
    </row>
    <row r="13" spans="1:17" hidden="1" x14ac:dyDescent="0.25">
      <c r="A13" s="24" t="s">
        <v>29</v>
      </c>
      <c r="B13" s="24" t="s">
        <v>30</v>
      </c>
      <c r="C13" s="25">
        <v>50.8</v>
      </c>
      <c r="D13" s="25">
        <v>142</v>
      </c>
      <c r="E13" s="26">
        <v>429</v>
      </c>
      <c r="F13" s="25">
        <v>8.1</v>
      </c>
      <c r="G13" s="27">
        <v>107</v>
      </c>
      <c r="H13" s="25" t="s">
        <v>2</v>
      </c>
      <c r="I13" s="25" t="s">
        <v>3</v>
      </c>
      <c r="J13" s="25">
        <v>28</v>
      </c>
      <c r="K13" s="25">
        <v>267</v>
      </c>
      <c r="L13" s="25" t="s">
        <v>93</v>
      </c>
      <c r="M13" s="26">
        <v>10.7</v>
      </c>
      <c r="N13" s="25" t="s">
        <v>94</v>
      </c>
      <c r="O13" s="28">
        <v>31490</v>
      </c>
      <c r="P13" s="25">
        <v>1544</v>
      </c>
      <c r="Q13" s="25" t="s">
        <v>71</v>
      </c>
    </row>
    <row r="14" spans="1:17" hidden="1" x14ac:dyDescent="0.25">
      <c r="A14" s="24" t="s">
        <v>31</v>
      </c>
      <c r="B14" s="24" t="s">
        <v>32</v>
      </c>
      <c r="C14" s="25">
        <v>50.8</v>
      </c>
      <c r="D14" s="25">
        <v>140</v>
      </c>
      <c r="E14" s="26">
        <v>433</v>
      </c>
      <c r="F14" s="25">
        <v>8.1999999999999993</v>
      </c>
      <c r="G14" s="27">
        <v>107</v>
      </c>
      <c r="H14" s="25" t="s">
        <v>2</v>
      </c>
      <c r="I14" s="25" t="s">
        <v>3</v>
      </c>
      <c r="J14" s="25">
        <v>28</v>
      </c>
      <c r="K14" s="25">
        <v>309</v>
      </c>
      <c r="L14" s="25" t="s">
        <v>93</v>
      </c>
      <c r="M14" s="26">
        <v>10.4</v>
      </c>
      <c r="N14" s="25" t="s">
        <v>94</v>
      </c>
      <c r="O14" s="28">
        <v>37525</v>
      </c>
      <c r="P14" s="25">
        <v>1530</v>
      </c>
      <c r="Q14" s="25" t="s">
        <v>71</v>
      </c>
    </row>
    <row r="15" spans="1:17" hidden="1" x14ac:dyDescent="0.25">
      <c r="A15" s="9" t="s">
        <v>31</v>
      </c>
      <c r="B15" s="9" t="s">
        <v>33</v>
      </c>
      <c r="C15" s="10">
        <v>97</v>
      </c>
      <c r="D15" s="10">
        <v>171</v>
      </c>
      <c r="E15" s="11">
        <v>701</v>
      </c>
      <c r="F15" s="10">
        <v>8.6999999999999993</v>
      </c>
      <c r="G15" s="12">
        <v>160</v>
      </c>
      <c r="H15" s="10" t="s">
        <v>10</v>
      </c>
      <c r="I15" s="10" t="s">
        <v>5</v>
      </c>
      <c r="J15" s="10">
        <v>32</v>
      </c>
      <c r="K15" s="10">
        <v>588</v>
      </c>
      <c r="L15" s="10" t="s">
        <v>93</v>
      </c>
      <c r="M15" s="11">
        <v>10.6</v>
      </c>
      <c r="N15" s="10" t="s">
        <v>93</v>
      </c>
      <c r="O15" s="13">
        <v>52850</v>
      </c>
      <c r="P15" s="10">
        <v>2241</v>
      </c>
      <c r="Q15" s="10" t="s">
        <v>75</v>
      </c>
    </row>
    <row r="16" spans="1:17" hidden="1" x14ac:dyDescent="0.25">
      <c r="A16" s="24" t="s">
        <v>34</v>
      </c>
      <c r="B16" s="24" t="s">
        <v>35</v>
      </c>
      <c r="C16" s="25">
        <v>52</v>
      </c>
      <c r="D16" s="25">
        <v>149</v>
      </c>
      <c r="E16" s="26">
        <v>412</v>
      </c>
      <c r="F16" s="25">
        <v>8</v>
      </c>
      <c r="G16" s="27">
        <v>101</v>
      </c>
      <c r="H16" s="25" t="s">
        <v>2</v>
      </c>
      <c r="I16" s="25" t="s">
        <v>3</v>
      </c>
      <c r="J16" s="25">
        <v>31</v>
      </c>
      <c r="K16" s="25">
        <v>326</v>
      </c>
      <c r="L16" s="25" t="s">
        <v>93</v>
      </c>
      <c r="M16" s="26">
        <v>10.3</v>
      </c>
      <c r="N16" s="25" t="s">
        <v>93</v>
      </c>
      <c r="O16" s="28">
        <v>32900</v>
      </c>
      <c r="P16" s="25">
        <v>1504</v>
      </c>
      <c r="Q16" s="25" t="s">
        <v>72</v>
      </c>
    </row>
    <row r="17" spans="1:17" hidden="1" x14ac:dyDescent="0.25">
      <c r="A17" s="14" t="s">
        <v>34</v>
      </c>
      <c r="B17" s="14" t="s">
        <v>36</v>
      </c>
      <c r="C17" s="15">
        <v>60</v>
      </c>
      <c r="D17" s="15">
        <v>150</v>
      </c>
      <c r="E17" s="16">
        <v>468</v>
      </c>
      <c r="F17" s="15">
        <v>7.4</v>
      </c>
      <c r="G17" s="17">
        <v>129</v>
      </c>
      <c r="H17" s="15" t="s">
        <v>10</v>
      </c>
      <c r="I17" s="15" t="s">
        <v>3</v>
      </c>
      <c r="J17" s="15">
        <v>33</v>
      </c>
      <c r="K17" s="15">
        <v>440</v>
      </c>
      <c r="L17" s="15" t="s">
        <v>93</v>
      </c>
      <c r="M17" s="16">
        <v>10.4</v>
      </c>
      <c r="N17" s="15" t="s">
        <v>93</v>
      </c>
      <c r="O17" s="18">
        <v>40990</v>
      </c>
      <c r="P17" s="15">
        <v>1719</v>
      </c>
      <c r="Q17" s="15" t="s">
        <v>74</v>
      </c>
    </row>
    <row r="18" spans="1:17" hidden="1" x14ac:dyDescent="0.25">
      <c r="A18" s="9" t="s">
        <v>34</v>
      </c>
      <c r="B18" s="9" t="s">
        <v>37</v>
      </c>
      <c r="C18" s="10">
        <v>87</v>
      </c>
      <c r="D18" s="10">
        <v>168</v>
      </c>
      <c r="E18" s="11">
        <v>623</v>
      </c>
      <c r="F18" s="10">
        <v>7.9</v>
      </c>
      <c r="G18" s="12">
        <v>150</v>
      </c>
      <c r="H18" s="10" t="s">
        <v>6</v>
      </c>
      <c r="I18" s="10" t="s">
        <v>5</v>
      </c>
      <c r="J18" s="10">
        <v>40</v>
      </c>
      <c r="K18" s="10">
        <v>545</v>
      </c>
      <c r="L18" s="10" t="s">
        <v>93</v>
      </c>
      <c r="M18" s="11">
        <v>10.9</v>
      </c>
      <c r="N18" s="10" t="s">
        <v>93</v>
      </c>
      <c r="O18" s="13">
        <v>47900</v>
      </c>
      <c r="P18" s="10">
        <v>1917</v>
      </c>
      <c r="Q18" s="10" t="s">
        <v>76</v>
      </c>
    </row>
    <row r="19" spans="1:17" hidden="1" x14ac:dyDescent="0.25">
      <c r="A19" s="9" t="s">
        <v>38</v>
      </c>
      <c r="B19" s="9" t="s">
        <v>39</v>
      </c>
      <c r="C19" s="10">
        <v>77</v>
      </c>
      <c r="D19" s="10">
        <v>148</v>
      </c>
      <c r="E19" s="11">
        <v>586</v>
      </c>
      <c r="F19" s="10">
        <v>6.7</v>
      </c>
      <c r="G19" s="12">
        <v>135</v>
      </c>
      <c r="H19" s="10" t="s">
        <v>6</v>
      </c>
      <c r="I19" s="10" t="s">
        <v>5</v>
      </c>
      <c r="J19" s="10">
        <v>28</v>
      </c>
      <c r="K19" s="10">
        <v>585</v>
      </c>
      <c r="L19" s="10" t="s">
        <v>93</v>
      </c>
      <c r="M19" s="11">
        <v>9.3000000000000007</v>
      </c>
      <c r="N19" s="10" t="s">
        <v>94</v>
      </c>
      <c r="O19" s="13">
        <v>48900</v>
      </c>
      <c r="P19" s="10">
        <v>2141</v>
      </c>
      <c r="Q19" s="10" t="s">
        <v>75</v>
      </c>
    </row>
    <row r="20" spans="1:17" hidden="1" x14ac:dyDescent="0.25">
      <c r="A20" s="14" t="s">
        <v>40</v>
      </c>
      <c r="B20" s="14" t="s">
        <v>45</v>
      </c>
      <c r="C20" s="15">
        <v>60</v>
      </c>
      <c r="D20" s="15">
        <v>130</v>
      </c>
      <c r="E20" s="16">
        <v>534</v>
      </c>
      <c r="F20" s="15">
        <v>6.2</v>
      </c>
      <c r="G20" s="17">
        <v>175</v>
      </c>
      <c r="H20" s="15" t="s">
        <v>8</v>
      </c>
      <c r="I20" s="15" t="s">
        <v>7</v>
      </c>
      <c r="J20" s="15">
        <v>24</v>
      </c>
      <c r="K20" s="15">
        <v>594</v>
      </c>
      <c r="L20" s="15" t="s">
        <v>93</v>
      </c>
      <c r="M20" s="16">
        <v>11.7</v>
      </c>
      <c r="N20" s="15" t="s">
        <v>94</v>
      </c>
      <c r="O20" s="18">
        <v>37990</v>
      </c>
      <c r="P20" s="15">
        <v>1847</v>
      </c>
      <c r="Q20" s="15" t="s">
        <v>73</v>
      </c>
    </row>
    <row r="21" spans="1:17" hidden="1" x14ac:dyDescent="0.25">
      <c r="A21" s="14" t="s">
        <v>41</v>
      </c>
      <c r="B21" s="14" t="s">
        <v>42</v>
      </c>
      <c r="C21" s="15">
        <v>59</v>
      </c>
      <c r="D21" s="15">
        <v>153</v>
      </c>
      <c r="E21" s="16">
        <v>434</v>
      </c>
      <c r="F21" s="15">
        <v>7.6</v>
      </c>
      <c r="G21" s="17">
        <v>165</v>
      </c>
      <c r="H21" s="15" t="s">
        <v>10</v>
      </c>
      <c r="I21" s="15" t="s">
        <v>3</v>
      </c>
      <c r="J21" s="15">
        <v>24</v>
      </c>
      <c r="K21" s="15">
        <v>385</v>
      </c>
      <c r="L21" s="15" t="s">
        <v>93</v>
      </c>
      <c r="M21" s="16">
        <v>10.3</v>
      </c>
      <c r="N21" s="15" t="s">
        <v>94</v>
      </c>
      <c r="O21" s="18">
        <v>36425</v>
      </c>
      <c r="P21" s="15">
        <v>1815</v>
      </c>
      <c r="Q21" s="15" t="s">
        <v>73</v>
      </c>
    </row>
    <row r="22" spans="1:17" hidden="1" x14ac:dyDescent="0.25">
      <c r="A22" s="9" t="s">
        <v>41</v>
      </c>
      <c r="B22" s="9" t="s">
        <v>43</v>
      </c>
      <c r="C22" s="10">
        <v>77</v>
      </c>
      <c r="D22" s="10">
        <v>155</v>
      </c>
      <c r="E22" s="11">
        <v>572</v>
      </c>
      <c r="F22" s="10">
        <v>6.7</v>
      </c>
      <c r="G22" s="12">
        <v>175</v>
      </c>
      <c r="H22" s="10" t="s">
        <v>6</v>
      </c>
      <c r="I22" s="10" t="s">
        <v>5</v>
      </c>
      <c r="J22" s="10">
        <v>28</v>
      </c>
      <c r="K22" s="10">
        <v>543</v>
      </c>
      <c r="L22" s="10" t="s">
        <v>93</v>
      </c>
      <c r="M22" s="11">
        <v>10.3</v>
      </c>
      <c r="N22" s="10" t="s">
        <v>94</v>
      </c>
      <c r="O22" s="13">
        <v>46335</v>
      </c>
      <c r="P22" s="10">
        <v>2139</v>
      </c>
      <c r="Q22" s="10" t="s">
        <v>75</v>
      </c>
    </row>
    <row r="23" spans="1:17" hidden="1" x14ac:dyDescent="0.25">
      <c r="A23" s="14" t="s">
        <v>44</v>
      </c>
      <c r="B23" s="14" t="s">
        <v>46</v>
      </c>
      <c r="C23" s="15">
        <v>65</v>
      </c>
      <c r="D23" s="15">
        <v>170</v>
      </c>
      <c r="E23" s="16">
        <v>476</v>
      </c>
      <c r="F23" s="15">
        <v>5.3</v>
      </c>
      <c r="G23" s="17">
        <v>158</v>
      </c>
      <c r="H23" s="15" t="s">
        <v>4</v>
      </c>
      <c r="I23" s="15" t="s">
        <v>5</v>
      </c>
      <c r="J23" s="15">
        <v>28</v>
      </c>
      <c r="K23" s="15">
        <v>318</v>
      </c>
      <c r="L23" s="15" t="s">
        <v>93</v>
      </c>
      <c r="M23" s="16">
        <v>10.6</v>
      </c>
      <c r="N23" s="15" t="s">
        <v>93</v>
      </c>
      <c r="O23" s="18">
        <v>44990</v>
      </c>
      <c r="P23" s="15">
        <v>1850</v>
      </c>
      <c r="Q23" s="15" t="s">
        <v>73</v>
      </c>
    </row>
    <row r="24" spans="1:17" x14ac:dyDescent="0.25">
      <c r="A24" s="19" t="s">
        <v>34</v>
      </c>
      <c r="B24" s="19" t="s">
        <v>69</v>
      </c>
      <c r="C24" s="20">
        <v>27.5</v>
      </c>
      <c r="D24" s="22">
        <v>131</v>
      </c>
      <c r="E24" s="21">
        <v>263</v>
      </c>
      <c r="F24" s="22">
        <v>12.1</v>
      </c>
      <c r="G24" s="22">
        <v>50</v>
      </c>
      <c r="H24" s="20"/>
      <c r="I24" s="29"/>
      <c r="J24" s="22">
        <v>30</v>
      </c>
      <c r="K24" s="22">
        <v>360</v>
      </c>
      <c r="L24" s="29" t="s">
        <v>94</v>
      </c>
      <c r="M24" s="21">
        <v>9.8000000000000007</v>
      </c>
      <c r="N24" s="29" t="s">
        <v>93</v>
      </c>
      <c r="O24" s="23">
        <v>18900</v>
      </c>
      <c r="P24" s="20">
        <v>1275</v>
      </c>
      <c r="Q24" s="20" t="s">
        <v>78</v>
      </c>
    </row>
    <row r="25" spans="1:17" hidden="1" x14ac:dyDescent="0.25">
      <c r="A25" s="19" t="s">
        <v>9</v>
      </c>
      <c r="B25" s="19" t="s">
        <v>70</v>
      </c>
      <c r="C25" s="20">
        <v>30</v>
      </c>
      <c r="D25" s="22">
        <v>155</v>
      </c>
      <c r="E25" s="21">
        <v>220</v>
      </c>
      <c r="F25" s="22">
        <v>11.1</v>
      </c>
      <c r="G25" s="22">
        <v>65</v>
      </c>
      <c r="H25" s="20"/>
      <c r="I25" s="29"/>
      <c r="J25" s="22">
        <v>29</v>
      </c>
      <c r="K25" s="22">
        <v>308</v>
      </c>
      <c r="L25" s="29" t="s">
        <v>93</v>
      </c>
      <c r="M25" s="21">
        <v>9.9</v>
      </c>
      <c r="N25" s="29" t="s">
        <v>93</v>
      </c>
      <c r="O25" s="23">
        <v>22900</v>
      </c>
      <c r="P25" s="20">
        <v>1369</v>
      </c>
      <c r="Q25" s="20" t="s">
        <v>77</v>
      </c>
    </row>
    <row r="26" spans="1:17" x14ac:dyDescent="0.25">
      <c r="C26" s="3"/>
      <c r="D26" s="2"/>
      <c r="F26" s="2"/>
      <c r="H26"/>
      <c r="I26"/>
      <c r="J26"/>
      <c r="K26" s="2"/>
      <c r="L26"/>
      <c r="M26" s="4"/>
      <c r="N26"/>
      <c r="O26" s="8"/>
      <c r="Q26" s="2"/>
    </row>
    <row r="27" spans="1:17" x14ac:dyDescent="0.25">
      <c r="D27" s="2"/>
      <c r="F27" s="2"/>
      <c r="H27"/>
      <c r="I27"/>
      <c r="J27"/>
      <c r="K27" s="2"/>
      <c r="L27"/>
      <c r="M27" s="4"/>
      <c r="N27"/>
      <c r="O27" s="8"/>
      <c r="Q27" s="2"/>
    </row>
    <row r="28" spans="1:17" x14ac:dyDescent="0.25">
      <c r="D28" s="2"/>
      <c r="F28" s="2"/>
      <c r="H28"/>
      <c r="I28"/>
      <c r="J28"/>
      <c r="K28" s="2"/>
      <c r="L28"/>
      <c r="M28" s="4"/>
      <c r="N28"/>
      <c r="O28" s="8"/>
      <c r="Q28" s="2"/>
    </row>
    <row r="29" spans="1:17" x14ac:dyDescent="0.25">
      <c r="D29" s="2"/>
      <c r="F29" s="2"/>
      <c r="H29"/>
      <c r="I29"/>
      <c r="J29"/>
      <c r="K29" s="2"/>
      <c r="L29"/>
      <c r="M29" s="4"/>
      <c r="N29"/>
      <c r="O29" s="8"/>
      <c r="Q29" s="2"/>
    </row>
    <row r="30" spans="1:17" x14ac:dyDescent="0.25">
      <c r="D30" s="2"/>
      <c r="F30" s="2"/>
      <c r="H30"/>
      <c r="I30"/>
      <c r="J30"/>
      <c r="K30" s="2"/>
      <c r="L30"/>
      <c r="M30" s="4"/>
      <c r="N30"/>
      <c r="O30" s="8"/>
      <c r="Q30" s="2"/>
    </row>
    <row r="31" spans="1:17" x14ac:dyDescent="0.25">
      <c r="D31" s="2"/>
      <c r="F31" s="2"/>
      <c r="H31"/>
      <c r="I31"/>
      <c r="J31"/>
      <c r="K31" s="2"/>
      <c r="L31"/>
      <c r="M31" s="4"/>
      <c r="N31"/>
      <c r="O31" s="8"/>
      <c r="Q31" s="2"/>
    </row>
    <row r="32" spans="1:17" x14ac:dyDescent="0.25">
      <c r="D32" s="2"/>
      <c r="F32" s="2"/>
      <c r="H32"/>
      <c r="I32"/>
      <c r="J32"/>
      <c r="K32" s="2"/>
      <c r="L32"/>
      <c r="M32" s="4"/>
      <c r="N32"/>
      <c r="O32" s="8"/>
      <c r="Q32" s="2"/>
    </row>
    <row r="33" spans="3:17" x14ac:dyDescent="0.25">
      <c r="D33" s="2"/>
      <c r="F33" s="2"/>
      <c r="H33"/>
      <c r="I33"/>
      <c r="J33"/>
      <c r="K33" s="2"/>
      <c r="L33"/>
      <c r="M33" s="4"/>
      <c r="N33"/>
      <c r="O33" s="8"/>
      <c r="Q33" s="2"/>
    </row>
    <row r="34" spans="3:17" x14ac:dyDescent="0.25">
      <c r="D34" s="2"/>
      <c r="F34" s="2"/>
      <c r="H34"/>
      <c r="I34"/>
      <c r="J34"/>
      <c r="K34" s="2"/>
      <c r="L34"/>
      <c r="M34" s="4"/>
      <c r="N34"/>
      <c r="O34" s="8"/>
      <c r="Q34" s="2"/>
    </row>
    <row r="35" spans="3:17" x14ac:dyDescent="0.25">
      <c r="C35" s="3"/>
      <c r="D35" s="2"/>
      <c r="F35" s="2"/>
      <c r="H35"/>
      <c r="I35"/>
      <c r="J35"/>
      <c r="K35" s="2"/>
      <c r="L35"/>
      <c r="M35" s="4"/>
      <c r="N35"/>
      <c r="O35" s="8"/>
      <c r="Q35" s="2"/>
    </row>
    <row r="36" spans="3:17" x14ac:dyDescent="0.25">
      <c r="C36" s="3"/>
      <c r="D36" s="2"/>
      <c r="F36" s="2"/>
      <c r="H36"/>
      <c r="I36"/>
      <c r="J36"/>
      <c r="K36" s="2"/>
      <c r="L36"/>
      <c r="M36" s="4"/>
      <c r="N36"/>
      <c r="O36" s="8"/>
      <c r="Q36" s="2"/>
    </row>
    <row r="37" spans="3:17" x14ac:dyDescent="0.25">
      <c r="C37" s="3"/>
      <c r="D37" s="2"/>
      <c r="F37" s="2"/>
      <c r="H37"/>
      <c r="I37"/>
      <c r="J37"/>
      <c r="K37" s="2"/>
      <c r="L37"/>
      <c r="M37" s="4"/>
      <c r="N37"/>
      <c r="O37" s="8"/>
      <c r="Q37" s="2"/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06A3-FA24-45F2-807C-E77109A47002}">
  <dimension ref="A1:AD28"/>
  <sheetViews>
    <sheetView topLeftCell="C1" zoomScale="85" zoomScaleNormal="85" workbookViewId="0">
      <selection activeCell="X1" sqref="X1:AC24"/>
    </sheetView>
  </sheetViews>
  <sheetFormatPr defaultColWidth="27.85546875" defaultRowHeight="15" x14ac:dyDescent="0.25"/>
  <cols>
    <col min="1" max="1" width="12.28515625" hidden="1" customWidth="1"/>
    <col min="2" max="2" width="34.7109375" hidden="1" customWidth="1"/>
    <col min="3" max="3" width="42.85546875" bestFit="1" customWidth="1"/>
    <col min="4" max="4" width="0" style="2" hidden="1" customWidth="1"/>
    <col min="5" max="5" width="0" style="5" hidden="1" customWidth="1"/>
    <col min="6" max="6" width="0" style="2" hidden="1" customWidth="1"/>
    <col min="7" max="7" width="0" style="34" hidden="1" customWidth="1"/>
    <col min="8" max="8" width="20" style="2" hidden="1" customWidth="1"/>
    <col min="9" max="9" width="0" style="2" hidden="1" customWidth="1"/>
    <col min="10" max="10" width="15.28515625" style="3" hidden="1" customWidth="1"/>
    <col min="11" max="12" width="0" style="3" hidden="1" customWidth="1"/>
    <col min="13" max="13" width="16.42578125" style="3" hidden="1" customWidth="1"/>
    <col min="14" max="14" width="14" style="5" hidden="1" customWidth="1"/>
    <col min="15" max="15" width="9.5703125" style="3" hidden="1" customWidth="1"/>
    <col min="16" max="16" width="0" style="7" hidden="1" customWidth="1"/>
    <col min="17" max="17" width="0" hidden="1" customWidth="1"/>
    <col min="18" max="18" width="27.85546875" style="3"/>
    <col min="19" max="19" width="0" style="5" hidden="1" customWidth="1"/>
    <col min="20" max="20" width="0" style="30" hidden="1" customWidth="1"/>
    <col min="21" max="22" width="0" style="5" hidden="1" customWidth="1"/>
    <col min="23" max="23" width="0" style="31" hidden="1" customWidth="1"/>
    <col min="24" max="24" width="27.85546875" style="33"/>
    <col min="25" max="27" width="27.85546875" style="32"/>
    <col min="28" max="28" width="27.85546875" style="4"/>
    <col min="29" max="29" width="27.85546875" style="32"/>
  </cols>
  <sheetData>
    <row r="1" spans="1:30" x14ac:dyDescent="0.25">
      <c r="A1" t="s">
        <v>0</v>
      </c>
      <c r="B1" t="s">
        <v>1</v>
      </c>
      <c r="C1" t="s">
        <v>48</v>
      </c>
      <c r="D1" s="2" t="s">
        <v>81</v>
      </c>
      <c r="E1" s="2" t="s">
        <v>82</v>
      </c>
      <c r="F1" s="5" t="s">
        <v>80</v>
      </c>
      <c r="G1" s="34" t="s">
        <v>84</v>
      </c>
      <c r="H1" s="6" t="s">
        <v>85</v>
      </c>
      <c r="I1" s="1" t="s">
        <v>88</v>
      </c>
      <c r="J1" s="2" t="s">
        <v>87</v>
      </c>
      <c r="K1" s="2" t="s">
        <v>99</v>
      </c>
      <c r="L1" s="2" t="s">
        <v>90</v>
      </c>
      <c r="M1" s="2" t="s">
        <v>89</v>
      </c>
      <c r="N1" s="5" t="s">
        <v>91</v>
      </c>
      <c r="O1" s="2" t="s">
        <v>92</v>
      </c>
      <c r="P1" s="7" t="s">
        <v>86</v>
      </c>
      <c r="Q1" s="2" t="s">
        <v>83</v>
      </c>
      <c r="R1" s="2" t="s">
        <v>79</v>
      </c>
      <c r="S1" s="5" t="s">
        <v>100</v>
      </c>
      <c r="T1" s="30" t="s">
        <v>101</v>
      </c>
      <c r="U1" s="5" t="s">
        <v>102</v>
      </c>
      <c r="V1" s="5" t="s">
        <v>103</v>
      </c>
      <c r="W1" s="31" t="s">
        <v>104</v>
      </c>
      <c r="X1" s="33" t="s">
        <v>106</v>
      </c>
      <c r="Y1" s="32" t="s">
        <v>107</v>
      </c>
      <c r="Z1" s="32" t="s">
        <v>108</v>
      </c>
      <c r="AA1" s="32" t="s">
        <v>109</v>
      </c>
      <c r="AB1" s="4" t="s">
        <v>110</v>
      </c>
      <c r="AC1" s="32" t="s">
        <v>111</v>
      </c>
      <c r="AD1" t="s">
        <v>116</v>
      </c>
    </row>
    <row r="2" spans="1:30" hidden="1" x14ac:dyDescent="0.25">
      <c r="A2" s="9" t="s">
        <v>40</v>
      </c>
      <c r="B2" s="9" t="s">
        <v>105</v>
      </c>
      <c r="C2" s="9" t="s">
        <v>95</v>
      </c>
      <c r="D2" s="10">
        <v>79</v>
      </c>
      <c r="E2" s="10">
        <v>142</v>
      </c>
      <c r="F2" s="11">
        <v>661</v>
      </c>
      <c r="G2" s="35">
        <v>5.6</v>
      </c>
      <c r="H2" s="12">
        <v>250</v>
      </c>
      <c r="I2" s="10" t="s">
        <v>6</v>
      </c>
      <c r="J2" s="10" t="s">
        <v>5</v>
      </c>
      <c r="K2" s="10">
        <v>28</v>
      </c>
      <c r="L2" s="10">
        <v>500</v>
      </c>
      <c r="M2" s="10" t="s">
        <v>93</v>
      </c>
      <c r="N2" s="11">
        <v>12.1</v>
      </c>
      <c r="O2" s="10" t="s">
        <v>94</v>
      </c>
      <c r="P2" s="13">
        <v>50970</v>
      </c>
      <c r="Q2" s="10">
        <v>1976</v>
      </c>
      <c r="R2" s="10" t="s">
        <v>114</v>
      </c>
      <c r="S2" s="10">
        <v>12.968412791838301</v>
      </c>
      <c r="T2" s="44">
        <v>4.26</v>
      </c>
      <c r="U2" s="11">
        <v>8.3670886075949404</v>
      </c>
      <c r="V2" s="11">
        <v>2.8683812405446298</v>
      </c>
      <c r="W2" s="45">
        <v>-2.4162354950519917E-2</v>
      </c>
      <c r="X2" s="46">
        <f>(S2 / _xlfn.MAXIFS($S$2:$S$25,$R$2:$R$25,R2)) * 100</f>
        <v>97.771842517639683</v>
      </c>
      <c r="Y2" s="47">
        <f t="shared" ref="Y2:Y25" si="0">(_xlfn.MINIFS($T$2:$T$25, $R$2:$R$25, R2) / T2) * 100</f>
        <v>100</v>
      </c>
      <c r="Z2" s="47">
        <f t="shared" ref="Z2:Z25" si="1">(U2 / _xlfn.MAXIFS($U$2:$U$25, $R$2:$R$25, R2)) * 100</f>
        <v>100</v>
      </c>
      <c r="AA2" s="47">
        <f t="shared" ref="AA2:AA25" si="2">(_xlfn.MINIFS($V$2:$V$25, $R$2:$R$25, R2) / V2) * 100</f>
        <v>100</v>
      </c>
      <c r="AB2" s="48">
        <f t="shared" ref="AB2:AB25" si="3">50+(W2 * 100)</f>
        <v>47.583764504948007</v>
      </c>
      <c r="AC2" s="47">
        <f t="shared" ref="AC2:AC25" si="4">(_xlfn.MINIFS($G$2:$G$25, $R$2:$R$25, R2) / G2) * 100</f>
        <v>100</v>
      </c>
      <c r="AD2" s="47">
        <f t="shared" ref="AD2:AD25" si="5">(X2 * 0.2) + (Y2 * 0.1) + (Z2 * 0.15) + (AA2 * 0.15) + (AB2 * 0.25) + (AC2 *0.15)</f>
        <v>86.450309629764945</v>
      </c>
    </row>
    <row r="3" spans="1:30" hidden="1" x14ac:dyDescent="0.25">
      <c r="A3" s="14" t="s">
        <v>9</v>
      </c>
      <c r="B3" s="14" t="s">
        <v>11</v>
      </c>
      <c r="C3" s="14" t="s">
        <v>49</v>
      </c>
      <c r="D3" s="15">
        <v>60.5</v>
      </c>
      <c r="E3" s="15">
        <v>159</v>
      </c>
      <c r="F3" s="16">
        <v>427</v>
      </c>
      <c r="G3" s="36">
        <v>7</v>
      </c>
      <c r="H3" s="17">
        <v>110</v>
      </c>
      <c r="I3" s="15" t="s">
        <v>10</v>
      </c>
      <c r="J3" s="15" t="s">
        <v>3</v>
      </c>
      <c r="K3" s="15">
        <v>36</v>
      </c>
      <c r="L3" s="15">
        <v>345</v>
      </c>
      <c r="M3" s="15" t="s">
        <v>93</v>
      </c>
      <c r="N3" s="16">
        <v>10.5</v>
      </c>
      <c r="O3" s="15" t="s">
        <v>93</v>
      </c>
      <c r="P3" s="18">
        <v>34640</v>
      </c>
      <c r="Q3" s="15">
        <v>1733</v>
      </c>
      <c r="R3" s="15" t="s">
        <v>113</v>
      </c>
      <c r="S3" s="15">
        <v>12.3267898383372</v>
      </c>
      <c r="T3" s="49">
        <v>4.7699999999999996</v>
      </c>
      <c r="U3" s="16">
        <v>7.0578512396694215</v>
      </c>
      <c r="V3" s="16">
        <v>7.7283372365339584</v>
      </c>
      <c r="W3" s="50">
        <v>0.12112818994862248</v>
      </c>
      <c r="X3" s="51">
        <f t="shared" ref="X3:X25" si="6">(S3 / _xlfn.MAXIFS($S$2:$S$25,$R$2:$R$25,R3)) * 100</f>
        <v>87.695645310567429</v>
      </c>
      <c r="Y3" s="52">
        <f t="shared" si="0"/>
        <v>81.761006289308185</v>
      </c>
      <c r="Z3" s="52">
        <f t="shared" si="1"/>
        <v>79.301699322128329</v>
      </c>
      <c r="AA3" s="52">
        <f t="shared" si="2"/>
        <v>49.846782431052091</v>
      </c>
      <c r="AB3" s="53">
        <f t="shared" si="3"/>
        <v>62.112818994862252</v>
      </c>
      <c r="AC3" s="52">
        <f t="shared" si="4"/>
        <v>75.714285714285708</v>
      </c>
      <c r="AD3" s="52">
        <f t="shared" si="5"/>
        <v>71.972849559879791</v>
      </c>
    </row>
    <row r="4" spans="1:30" hidden="1" x14ac:dyDescent="0.25">
      <c r="A4" s="14" t="s">
        <v>12</v>
      </c>
      <c r="B4" s="14" t="s">
        <v>13</v>
      </c>
      <c r="C4" s="14" t="s">
        <v>50</v>
      </c>
      <c r="D4" s="15">
        <v>59</v>
      </c>
      <c r="E4" s="15">
        <v>156</v>
      </c>
      <c r="F4" s="16">
        <v>427</v>
      </c>
      <c r="G4" s="36">
        <v>6.7</v>
      </c>
      <c r="H4" s="17">
        <v>165</v>
      </c>
      <c r="I4" s="15" t="s">
        <v>10</v>
      </c>
      <c r="J4" s="15" t="s">
        <v>3</v>
      </c>
      <c r="K4" s="15">
        <v>24</v>
      </c>
      <c r="L4" s="15">
        <v>385</v>
      </c>
      <c r="M4" s="15" t="s">
        <v>93</v>
      </c>
      <c r="N4" s="16">
        <v>10.199999999999999</v>
      </c>
      <c r="O4" s="15" t="s">
        <v>94</v>
      </c>
      <c r="P4" s="18">
        <v>41450</v>
      </c>
      <c r="Q4" s="15">
        <v>1841</v>
      </c>
      <c r="R4" s="15" t="s">
        <v>113</v>
      </c>
      <c r="S4" s="15">
        <v>10.301568154402901</v>
      </c>
      <c r="T4" s="49">
        <v>4.68</v>
      </c>
      <c r="U4" s="16">
        <v>7.2372881355932206</v>
      </c>
      <c r="V4" s="16">
        <v>5.0244837130083031</v>
      </c>
      <c r="W4" s="50">
        <v>-5.1652324671755144E-2</v>
      </c>
      <c r="X4" s="51">
        <f t="shared" si="6"/>
        <v>73.287747974862555</v>
      </c>
      <c r="Y4" s="52">
        <f t="shared" si="0"/>
        <v>83.333333333333343</v>
      </c>
      <c r="Z4" s="52">
        <f t="shared" si="1"/>
        <v>81.317844220148544</v>
      </c>
      <c r="AA4" s="52">
        <f t="shared" si="2"/>
        <v>76.671110264711487</v>
      </c>
      <c r="AB4" s="53">
        <f t="shared" si="3"/>
        <v>44.834767532824486</v>
      </c>
      <c r="AC4" s="52">
        <f t="shared" si="4"/>
        <v>79.104477611940297</v>
      </c>
      <c r="AD4" s="52">
        <f t="shared" si="5"/>
        <v>69.763589626032015</v>
      </c>
    </row>
    <row r="5" spans="1:30" hidden="1" x14ac:dyDescent="0.25">
      <c r="A5" s="19" t="s">
        <v>14</v>
      </c>
      <c r="B5" s="19" t="s">
        <v>15</v>
      </c>
      <c r="C5" s="19" t="s">
        <v>51</v>
      </c>
      <c r="D5" s="20">
        <v>43.8</v>
      </c>
      <c r="E5" s="20">
        <v>164</v>
      </c>
      <c r="F5" s="21">
        <v>327</v>
      </c>
      <c r="G5" s="37">
        <v>11.5</v>
      </c>
      <c r="H5" s="22">
        <v>97</v>
      </c>
      <c r="I5" s="20" t="s">
        <v>2</v>
      </c>
      <c r="J5" s="20" t="s">
        <v>3</v>
      </c>
      <c r="K5" s="20">
        <v>31</v>
      </c>
      <c r="L5" s="20">
        <v>310</v>
      </c>
      <c r="M5" s="20" t="s">
        <v>94</v>
      </c>
      <c r="N5" s="21">
        <v>10.3</v>
      </c>
      <c r="O5" s="20" t="s">
        <v>94</v>
      </c>
      <c r="P5" s="23">
        <v>23300</v>
      </c>
      <c r="Q5" s="20">
        <v>1491</v>
      </c>
      <c r="R5" s="20" t="s">
        <v>115</v>
      </c>
      <c r="S5" s="20">
        <v>14.0343347639485</v>
      </c>
      <c r="T5" s="54">
        <v>4.919999999999999</v>
      </c>
      <c r="U5" s="21">
        <v>7.4657534246575343</v>
      </c>
      <c r="V5" s="21">
        <v>8.2852548945427031</v>
      </c>
      <c r="W5" s="55">
        <v>-4.0255971426445478E-2</v>
      </c>
      <c r="X5" s="56">
        <f t="shared" si="6"/>
        <v>96.343811622781388</v>
      </c>
      <c r="Y5" s="57">
        <f t="shared" si="0"/>
        <v>79.878048780487802</v>
      </c>
      <c r="Z5" s="57">
        <f t="shared" si="1"/>
        <v>78.063961664670032</v>
      </c>
      <c r="AA5" s="57">
        <f t="shared" si="2"/>
        <v>100</v>
      </c>
      <c r="AB5" s="58">
        <f t="shared" si="3"/>
        <v>45.97440285735545</v>
      </c>
      <c r="AC5" s="57">
        <f t="shared" si="4"/>
        <v>92.173913043478265</v>
      </c>
      <c r="AD5" s="57">
        <f>(X5 * 0.2) + (Y5 * 0.1) + (Z5 * 0.15) + (AA5 * 0.15) + (AB5 * 0.25) + (AC5 *0.15)</f>
        <v>79.285849123166159</v>
      </c>
    </row>
    <row r="6" spans="1:30" hidden="1" x14ac:dyDescent="0.25">
      <c r="A6" s="24" t="s">
        <v>17</v>
      </c>
      <c r="B6" s="24" t="s">
        <v>18</v>
      </c>
      <c r="C6" s="40" t="s">
        <v>52</v>
      </c>
      <c r="D6" s="25">
        <v>37.299999999999997</v>
      </c>
      <c r="E6" s="25">
        <v>140</v>
      </c>
      <c r="F6" s="26">
        <v>333</v>
      </c>
      <c r="G6" s="41">
        <v>9</v>
      </c>
      <c r="H6" s="27">
        <v>85</v>
      </c>
      <c r="I6" s="25" t="s">
        <v>2</v>
      </c>
      <c r="J6" s="25" t="s">
        <v>3</v>
      </c>
      <c r="K6" s="25">
        <v>25</v>
      </c>
      <c r="L6" s="25">
        <v>185</v>
      </c>
      <c r="M6" s="25" t="s">
        <v>94</v>
      </c>
      <c r="N6" s="26">
        <v>9.6999999999999993</v>
      </c>
      <c r="O6" s="25" t="s">
        <v>94</v>
      </c>
      <c r="P6" s="42">
        <v>34990</v>
      </c>
      <c r="Q6" s="25">
        <v>1365</v>
      </c>
      <c r="R6" s="43" t="s">
        <v>112</v>
      </c>
      <c r="S6" s="60">
        <v>9.5170048585310099</v>
      </c>
      <c r="T6" s="59">
        <v>4.2</v>
      </c>
      <c r="U6" s="60">
        <v>8.9276139410187678</v>
      </c>
      <c r="V6" s="60">
        <v>7.9067302596714351</v>
      </c>
      <c r="W6" s="61">
        <v>-2.5122683659269025E-2</v>
      </c>
      <c r="X6" s="62">
        <f t="shared" si="6"/>
        <v>69.857921444088916</v>
      </c>
      <c r="Y6" s="63">
        <f t="shared" si="0"/>
        <v>98.571428571428555</v>
      </c>
      <c r="Z6" s="63">
        <f t="shared" si="1"/>
        <v>100</v>
      </c>
      <c r="AA6" s="63">
        <f t="shared" si="2"/>
        <v>83.204413885560527</v>
      </c>
      <c r="AB6" s="64">
        <f t="shared" si="3"/>
        <v>47.4877316340731</v>
      </c>
      <c r="AC6" s="63">
        <f t="shared" si="4"/>
        <v>81.111111111111114</v>
      </c>
      <c r="AD6" s="63">
        <f t="shared" si="5"/>
        <v>75.347988803979661</v>
      </c>
    </row>
    <row r="7" spans="1:30" hidden="1" x14ac:dyDescent="0.25">
      <c r="A7" s="19" t="s">
        <v>17</v>
      </c>
      <c r="B7" s="19" t="s">
        <v>19</v>
      </c>
      <c r="C7" s="19" t="s">
        <v>53</v>
      </c>
      <c r="D7" s="20">
        <v>43.8</v>
      </c>
      <c r="E7" s="20">
        <v>167</v>
      </c>
      <c r="F7" s="21">
        <v>322</v>
      </c>
      <c r="G7" s="37">
        <v>11</v>
      </c>
      <c r="H7" s="22">
        <v>97</v>
      </c>
      <c r="I7" s="20" t="s">
        <v>2</v>
      </c>
      <c r="J7" s="20" t="s">
        <v>3</v>
      </c>
      <c r="K7" s="20">
        <v>31</v>
      </c>
      <c r="L7" s="20">
        <v>361</v>
      </c>
      <c r="M7" s="20" t="s">
        <v>93</v>
      </c>
      <c r="N7" s="21">
        <v>10.9</v>
      </c>
      <c r="O7" s="20" t="s">
        <v>94</v>
      </c>
      <c r="P7" s="23">
        <v>24990</v>
      </c>
      <c r="Q7" s="20">
        <v>1511</v>
      </c>
      <c r="R7" s="20" t="s">
        <v>115</v>
      </c>
      <c r="S7" s="20">
        <v>12.8851540616247</v>
      </c>
      <c r="T7" s="54">
        <v>5.01</v>
      </c>
      <c r="U7" s="21">
        <v>7.3515981735159821</v>
      </c>
      <c r="V7" s="21">
        <v>8.4139079208554772</v>
      </c>
      <c r="W7" s="55">
        <v>-0.11570801398913616</v>
      </c>
      <c r="X7" s="56">
        <f t="shared" si="6"/>
        <v>88.454841396018011</v>
      </c>
      <c r="Y7" s="57">
        <f t="shared" si="0"/>
        <v>78.443113772455092</v>
      </c>
      <c r="Z7" s="57">
        <f t="shared" si="1"/>
        <v>76.870323107106273</v>
      </c>
      <c r="AA7" s="57">
        <f t="shared" si="2"/>
        <v>98.470948012232427</v>
      </c>
      <c r="AB7" s="58">
        <f t="shared" si="3"/>
        <v>38.429198601086384</v>
      </c>
      <c r="AC7" s="57">
        <f t="shared" si="4"/>
        <v>96.36363636363636</v>
      </c>
      <c r="AD7" s="57">
        <f t="shared" si="5"/>
        <v>75.898315429166971</v>
      </c>
    </row>
    <row r="8" spans="1:30" x14ac:dyDescent="0.25">
      <c r="A8" s="19" t="s">
        <v>20</v>
      </c>
      <c r="B8" s="19" t="s">
        <v>21</v>
      </c>
      <c r="C8" s="19" t="s">
        <v>54</v>
      </c>
      <c r="D8" s="20">
        <v>46</v>
      </c>
      <c r="E8" s="20">
        <v>149</v>
      </c>
      <c r="F8" s="21">
        <v>370</v>
      </c>
      <c r="G8" s="37">
        <v>10.6</v>
      </c>
      <c r="H8" s="22">
        <v>85</v>
      </c>
      <c r="I8" s="20" t="s">
        <v>22</v>
      </c>
      <c r="J8" s="20" t="s">
        <v>5</v>
      </c>
      <c r="K8" s="20">
        <v>29</v>
      </c>
      <c r="L8" s="20">
        <v>351</v>
      </c>
      <c r="M8" s="20" t="s">
        <v>93</v>
      </c>
      <c r="N8" s="21">
        <v>10.6</v>
      </c>
      <c r="O8" s="20" t="s">
        <v>93</v>
      </c>
      <c r="P8" s="23">
        <v>25400</v>
      </c>
      <c r="Q8" s="20">
        <v>1410</v>
      </c>
      <c r="R8" s="20" t="s">
        <v>115</v>
      </c>
      <c r="S8" s="20">
        <v>14.5669291338583</v>
      </c>
      <c r="T8" s="54">
        <v>4.47</v>
      </c>
      <c r="U8" s="21">
        <v>8.0434782608695645</v>
      </c>
      <c r="V8" s="21">
        <v>8.7758346581876001</v>
      </c>
      <c r="W8" s="55">
        <v>-0.1340129473919191</v>
      </c>
      <c r="X8" s="56">
        <f t="shared" si="6"/>
        <v>100</v>
      </c>
      <c r="Y8" s="57">
        <f t="shared" si="0"/>
        <v>87.919463087248317</v>
      </c>
      <c r="Z8" s="57">
        <f t="shared" si="1"/>
        <v>84.10481071251445</v>
      </c>
      <c r="AA8" s="57">
        <f t="shared" si="2"/>
        <v>94.40987914252463</v>
      </c>
      <c r="AB8" s="58">
        <f t="shared" si="3"/>
        <v>36.598705260808089</v>
      </c>
      <c r="AC8" s="57">
        <f t="shared" si="4"/>
        <v>100</v>
      </c>
      <c r="AD8" s="57">
        <f t="shared" si="5"/>
        <v>79.718826102182703</v>
      </c>
    </row>
    <row r="9" spans="1:30" hidden="1" x14ac:dyDescent="0.25">
      <c r="A9" s="9" t="s">
        <v>20</v>
      </c>
      <c r="B9" s="9" t="s">
        <v>47</v>
      </c>
      <c r="C9" s="9" t="s">
        <v>55</v>
      </c>
      <c r="D9" s="10">
        <v>80</v>
      </c>
      <c r="E9" s="10">
        <v>160</v>
      </c>
      <c r="F9" s="11">
        <v>570</v>
      </c>
      <c r="G9" s="35">
        <v>7.5</v>
      </c>
      <c r="H9" s="12">
        <v>263</v>
      </c>
      <c r="I9" s="10" t="s">
        <v>8</v>
      </c>
      <c r="J9" s="10" t="s">
        <v>5</v>
      </c>
      <c r="K9" s="10">
        <v>18</v>
      </c>
      <c r="L9" s="10">
        <v>520</v>
      </c>
      <c r="M9" s="10" t="s">
        <v>93</v>
      </c>
      <c r="N9" s="11">
        <v>12</v>
      </c>
      <c r="O9" s="10" t="s">
        <v>93</v>
      </c>
      <c r="P9" s="13">
        <v>51650</v>
      </c>
      <c r="Q9" s="10">
        <v>2060</v>
      </c>
      <c r="R9" s="10" t="s">
        <v>114</v>
      </c>
      <c r="S9" s="10">
        <v>11.0358180058083</v>
      </c>
      <c r="T9" s="44">
        <v>4.8</v>
      </c>
      <c r="U9" s="11">
        <v>7.125</v>
      </c>
      <c r="V9" s="11">
        <v>3.2019211526916145</v>
      </c>
      <c r="W9" s="45">
        <v>-3.7825890390314962E-2</v>
      </c>
      <c r="X9" s="46">
        <f t="shared" si="6"/>
        <v>83.201566563048317</v>
      </c>
      <c r="Y9" s="47">
        <f t="shared" si="0"/>
        <v>88.75</v>
      </c>
      <c r="Z9" s="47">
        <f t="shared" si="1"/>
        <v>85.155068078668648</v>
      </c>
      <c r="AA9" s="47">
        <f t="shared" si="2"/>
        <v>89.583131618759481</v>
      </c>
      <c r="AB9" s="48">
        <f t="shared" si="3"/>
        <v>46.217410960968508</v>
      </c>
      <c r="AC9" s="47">
        <f t="shared" si="4"/>
        <v>74.666666666666657</v>
      </c>
      <c r="AD9" s="47">
        <f t="shared" si="5"/>
        <v>74.480396007466013</v>
      </c>
    </row>
    <row r="10" spans="1:30" hidden="1" x14ac:dyDescent="0.25">
      <c r="A10" s="19" t="s">
        <v>23</v>
      </c>
      <c r="B10" s="19" t="s">
        <v>24</v>
      </c>
      <c r="C10" s="19" t="s">
        <v>56</v>
      </c>
      <c r="D10" s="20">
        <v>36</v>
      </c>
      <c r="E10" s="20">
        <v>163</v>
      </c>
      <c r="F10" s="21">
        <v>265</v>
      </c>
      <c r="G10" s="37">
        <v>12.7</v>
      </c>
      <c r="H10" s="22">
        <v>48</v>
      </c>
      <c r="I10" s="20" t="s">
        <v>16</v>
      </c>
      <c r="J10" s="20" t="s">
        <v>3</v>
      </c>
      <c r="K10" s="20">
        <v>53</v>
      </c>
      <c r="L10" s="20">
        <v>210</v>
      </c>
      <c r="M10" s="20" t="s">
        <v>94</v>
      </c>
      <c r="N10" s="21">
        <v>9.6999999999999993</v>
      </c>
      <c r="O10" s="20" t="s">
        <v>94</v>
      </c>
      <c r="P10" s="23">
        <v>18900</v>
      </c>
      <c r="Q10" s="20">
        <v>1250</v>
      </c>
      <c r="R10" s="20" t="s">
        <v>115</v>
      </c>
      <c r="S10" s="20">
        <v>14.021164021163999</v>
      </c>
      <c r="T10" s="54">
        <v>4.8899999999999997</v>
      </c>
      <c r="U10" s="21">
        <v>7.3611111111111107</v>
      </c>
      <c r="V10" s="21">
        <v>16.981132075471699</v>
      </c>
      <c r="W10" s="55">
        <v>0.15618721631073737</v>
      </c>
      <c r="X10" s="56">
        <f t="shared" si="6"/>
        <v>96.253396253395891</v>
      </c>
      <c r="Y10" s="57">
        <f t="shared" si="0"/>
        <v>80.368098159509202</v>
      </c>
      <c r="Z10" s="57">
        <f t="shared" si="1"/>
        <v>76.969792986903244</v>
      </c>
      <c r="AA10" s="57">
        <f t="shared" si="2"/>
        <v>48.790945490084802</v>
      </c>
      <c r="AB10" s="58">
        <f t="shared" si="3"/>
        <v>65.61872163107374</v>
      </c>
      <c r="AC10" s="57">
        <f t="shared" si="4"/>
        <v>83.464566929133866</v>
      </c>
      <c r="AD10" s="57">
        <f t="shared" si="5"/>
        <v>75.075965285316812</v>
      </c>
    </row>
    <row r="11" spans="1:30" hidden="1" x14ac:dyDescent="0.25">
      <c r="A11" s="24" t="s">
        <v>25</v>
      </c>
      <c r="B11" s="24" t="s">
        <v>26</v>
      </c>
      <c r="C11" s="40" t="s">
        <v>57</v>
      </c>
      <c r="D11" s="25">
        <v>50.8</v>
      </c>
      <c r="E11" s="25">
        <v>167</v>
      </c>
      <c r="F11" s="26">
        <v>353</v>
      </c>
      <c r="G11" s="41">
        <v>7.7</v>
      </c>
      <c r="H11" s="27">
        <v>87</v>
      </c>
      <c r="I11" s="25" t="s">
        <v>10</v>
      </c>
      <c r="J11" s="25" t="s">
        <v>3</v>
      </c>
      <c r="K11" s="25">
        <v>35</v>
      </c>
      <c r="L11" s="25">
        <v>363</v>
      </c>
      <c r="M11" s="25" t="s">
        <v>94</v>
      </c>
      <c r="N11" s="26">
        <v>10.6</v>
      </c>
      <c r="O11" s="25" t="s">
        <v>93</v>
      </c>
      <c r="P11" s="42">
        <v>34990</v>
      </c>
      <c r="Q11" s="25">
        <v>1710</v>
      </c>
      <c r="R11" s="43" t="s">
        <v>112</v>
      </c>
      <c r="S11" s="60">
        <v>10.088596741926301</v>
      </c>
      <c r="T11" s="59">
        <v>5.01</v>
      </c>
      <c r="U11" s="60">
        <v>6.9488188976377954</v>
      </c>
      <c r="V11" s="60">
        <v>9.9247826511673338</v>
      </c>
      <c r="W11" s="61">
        <v>-2.5122683659269025E-2</v>
      </c>
      <c r="X11" s="62">
        <f t="shared" si="6"/>
        <v>74.0535924016921</v>
      </c>
      <c r="Y11" s="63">
        <f t="shared" si="0"/>
        <v>82.634730538922156</v>
      </c>
      <c r="Z11" s="63">
        <f t="shared" si="1"/>
        <v>77.835118583150077</v>
      </c>
      <c r="AA11" s="63">
        <f t="shared" si="2"/>
        <v>66.286071960458443</v>
      </c>
      <c r="AB11" s="64">
        <f t="shared" si="3"/>
        <v>47.4877316340731</v>
      </c>
      <c r="AC11" s="63">
        <f t="shared" si="4"/>
        <v>94.805194805194802</v>
      </c>
      <c r="AD11" s="63">
        <f t="shared" si="5"/>
        <v>70.785082245069404</v>
      </c>
    </row>
    <row r="12" spans="1:30" hidden="1" x14ac:dyDescent="0.25">
      <c r="A12" s="24" t="s">
        <v>27</v>
      </c>
      <c r="B12" s="24" t="s">
        <v>28</v>
      </c>
      <c r="C12" s="40" t="s">
        <v>58</v>
      </c>
      <c r="D12" s="25">
        <v>36.6</v>
      </c>
      <c r="E12" s="25">
        <v>138</v>
      </c>
      <c r="F12" s="26">
        <v>305</v>
      </c>
      <c r="G12" s="41">
        <v>7.3</v>
      </c>
      <c r="H12" s="27">
        <v>70</v>
      </c>
      <c r="I12" s="25" t="s">
        <v>2</v>
      </c>
      <c r="J12" s="25" t="s">
        <v>3</v>
      </c>
      <c r="K12" s="25">
        <v>27</v>
      </c>
      <c r="L12" s="25">
        <v>200</v>
      </c>
      <c r="M12" s="25" t="s">
        <v>93</v>
      </c>
      <c r="N12" s="26">
        <v>10.7</v>
      </c>
      <c r="O12" s="25" t="s">
        <v>94</v>
      </c>
      <c r="P12" s="42">
        <v>32900</v>
      </c>
      <c r="Q12" s="25">
        <v>1615</v>
      </c>
      <c r="R12" s="43" t="s">
        <v>112</v>
      </c>
      <c r="S12" s="60">
        <v>9.2705167173252292</v>
      </c>
      <c r="T12" s="59">
        <v>4.1399999999999997</v>
      </c>
      <c r="U12" s="60">
        <v>8.3333333333333321</v>
      </c>
      <c r="V12" s="60">
        <v>10.285714285714288</v>
      </c>
      <c r="W12" s="61">
        <v>3.6109280011719036E-2</v>
      </c>
      <c r="X12" s="62">
        <f t="shared" si="6"/>
        <v>68.048618048618039</v>
      </c>
      <c r="Y12" s="63">
        <f t="shared" si="0"/>
        <v>100</v>
      </c>
      <c r="Z12" s="63">
        <f t="shared" si="1"/>
        <v>93.343343343343321</v>
      </c>
      <c r="AA12" s="63">
        <f t="shared" si="2"/>
        <v>63.960055542365438</v>
      </c>
      <c r="AB12" s="64">
        <f t="shared" si="3"/>
        <v>53.610928001171906</v>
      </c>
      <c r="AC12" s="63">
        <f t="shared" si="4"/>
        <v>100</v>
      </c>
      <c r="AD12" s="63">
        <f t="shared" si="5"/>
        <v>75.60796544287291</v>
      </c>
    </row>
    <row r="13" spans="1:30" hidden="1" x14ac:dyDescent="0.25">
      <c r="A13" s="24" t="s">
        <v>29</v>
      </c>
      <c r="B13" s="24" t="s">
        <v>30</v>
      </c>
      <c r="C13" s="40" t="s">
        <v>59</v>
      </c>
      <c r="D13" s="25">
        <v>50.8</v>
      </c>
      <c r="E13" s="25">
        <v>142</v>
      </c>
      <c r="F13" s="26">
        <v>429</v>
      </c>
      <c r="G13" s="41">
        <v>8.1</v>
      </c>
      <c r="H13" s="27">
        <v>107</v>
      </c>
      <c r="I13" s="25" t="s">
        <v>2</v>
      </c>
      <c r="J13" s="25" t="s">
        <v>3</v>
      </c>
      <c r="K13" s="25">
        <v>28</v>
      </c>
      <c r="L13" s="25">
        <v>267</v>
      </c>
      <c r="M13" s="25" t="s">
        <v>93</v>
      </c>
      <c r="N13" s="26">
        <v>10.7</v>
      </c>
      <c r="O13" s="25" t="s">
        <v>94</v>
      </c>
      <c r="P13" s="42">
        <v>31490</v>
      </c>
      <c r="Q13" s="25">
        <v>1544</v>
      </c>
      <c r="R13" s="43" t="s">
        <v>112</v>
      </c>
      <c r="S13" s="60">
        <v>13.6233724992061</v>
      </c>
      <c r="T13" s="59">
        <v>4.26</v>
      </c>
      <c r="U13" s="60">
        <v>8.4448818897637796</v>
      </c>
      <c r="V13" s="60">
        <v>6.640088883079537</v>
      </c>
      <c r="W13" s="61">
        <v>7.7418882296931071E-2</v>
      </c>
      <c r="X13" s="62">
        <f t="shared" si="6"/>
        <v>100</v>
      </c>
      <c r="Y13" s="63">
        <f t="shared" si="0"/>
        <v>97.183098591549282</v>
      </c>
      <c r="Z13" s="63">
        <f t="shared" si="1"/>
        <v>94.592821167624308</v>
      </c>
      <c r="AA13" s="63">
        <f t="shared" si="2"/>
        <v>99.076212471131655</v>
      </c>
      <c r="AB13" s="64">
        <f t="shared" si="3"/>
        <v>57.74188822969311</v>
      </c>
      <c r="AC13" s="63">
        <f t="shared" si="4"/>
        <v>90.123456790123456</v>
      </c>
      <c r="AD13" s="63">
        <f t="shared" si="5"/>
        <v>86.72265548091012</v>
      </c>
    </row>
    <row r="14" spans="1:30" hidden="1" x14ac:dyDescent="0.25">
      <c r="A14" s="24" t="s">
        <v>31</v>
      </c>
      <c r="B14" s="24" t="s">
        <v>32</v>
      </c>
      <c r="C14" s="40" t="s">
        <v>60</v>
      </c>
      <c r="D14" s="25">
        <v>50.8</v>
      </c>
      <c r="E14" s="25">
        <v>140</v>
      </c>
      <c r="F14" s="26">
        <v>433</v>
      </c>
      <c r="G14" s="41">
        <v>8.1999999999999993</v>
      </c>
      <c r="H14" s="27">
        <v>107</v>
      </c>
      <c r="I14" s="25" t="s">
        <v>2</v>
      </c>
      <c r="J14" s="25" t="s">
        <v>3</v>
      </c>
      <c r="K14" s="25">
        <v>28</v>
      </c>
      <c r="L14" s="25">
        <v>309</v>
      </c>
      <c r="M14" s="25" t="s">
        <v>93</v>
      </c>
      <c r="N14" s="26">
        <v>10.4</v>
      </c>
      <c r="O14" s="25" t="s">
        <v>94</v>
      </c>
      <c r="P14" s="42">
        <v>37525</v>
      </c>
      <c r="Q14" s="25">
        <v>1530</v>
      </c>
      <c r="R14" s="43" t="s">
        <v>112</v>
      </c>
      <c r="S14" s="60">
        <v>11.538974017321801</v>
      </c>
      <c r="T14" s="59">
        <v>4.2</v>
      </c>
      <c r="U14" s="60">
        <v>8.5236220472440944</v>
      </c>
      <c r="V14" s="60">
        <v>6.5787485700718751</v>
      </c>
      <c r="W14" s="61">
        <v>-9.9392075001831101E-2</v>
      </c>
      <c r="X14" s="62">
        <f t="shared" si="6"/>
        <v>84.699834919688442</v>
      </c>
      <c r="Y14" s="63">
        <f t="shared" si="0"/>
        <v>98.571428571428555</v>
      </c>
      <c r="Z14" s="63">
        <f t="shared" si="1"/>
        <v>95.474805514175571</v>
      </c>
      <c r="AA14" s="63">
        <f t="shared" si="2"/>
        <v>100</v>
      </c>
      <c r="AB14" s="64">
        <f t="shared" si="3"/>
        <v>40.060792499816891</v>
      </c>
      <c r="AC14" s="63">
        <f t="shared" si="4"/>
        <v>89.024390243902445</v>
      </c>
      <c r="AD14" s="63">
        <f t="shared" si="5"/>
        <v>79.487187329746476</v>
      </c>
    </row>
    <row r="15" spans="1:30" hidden="1" x14ac:dyDescent="0.25">
      <c r="A15" s="9" t="s">
        <v>31</v>
      </c>
      <c r="B15" s="9" t="s">
        <v>33</v>
      </c>
      <c r="C15" s="9" t="s">
        <v>96</v>
      </c>
      <c r="D15" s="10">
        <v>97</v>
      </c>
      <c r="E15" s="10">
        <v>171</v>
      </c>
      <c r="F15" s="11">
        <v>701</v>
      </c>
      <c r="G15" s="35">
        <v>8.6999999999999993</v>
      </c>
      <c r="H15" s="12">
        <v>160</v>
      </c>
      <c r="I15" s="10" t="s">
        <v>10</v>
      </c>
      <c r="J15" s="10" t="s">
        <v>5</v>
      </c>
      <c r="K15" s="10">
        <v>32</v>
      </c>
      <c r="L15" s="10">
        <v>588</v>
      </c>
      <c r="M15" s="10" t="s">
        <v>93</v>
      </c>
      <c r="N15" s="11">
        <v>10.6</v>
      </c>
      <c r="O15" s="10" t="s">
        <v>93</v>
      </c>
      <c r="P15" s="13">
        <v>52850</v>
      </c>
      <c r="Q15" s="10">
        <v>2241</v>
      </c>
      <c r="R15" s="10" t="s">
        <v>114</v>
      </c>
      <c r="S15" s="10">
        <v>13.263954588457899</v>
      </c>
      <c r="T15" s="44">
        <v>5.13</v>
      </c>
      <c r="U15" s="11">
        <v>7.2268041237113403</v>
      </c>
      <c r="V15" s="11">
        <v>5.1890156918687591</v>
      </c>
      <c r="W15" s="45">
        <v>-6.1938011754659163E-2</v>
      </c>
      <c r="X15" s="46">
        <f t="shared" si="6"/>
        <v>100</v>
      </c>
      <c r="Y15" s="47">
        <f t="shared" si="0"/>
        <v>83.040935672514621</v>
      </c>
      <c r="Z15" s="47">
        <f t="shared" si="1"/>
        <v>86.3717890731007</v>
      </c>
      <c r="AA15" s="47">
        <f t="shared" si="2"/>
        <v>55.277945006784478</v>
      </c>
      <c r="AB15" s="48">
        <f t="shared" si="3"/>
        <v>43.806198824534086</v>
      </c>
      <c r="AC15" s="47">
        <f t="shared" si="4"/>
        <v>64.367816091954026</v>
      </c>
      <c r="AD15" s="47">
        <f t="shared" si="5"/>
        <v>70.158275799160862</v>
      </c>
    </row>
    <row r="16" spans="1:30" hidden="1" x14ac:dyDescent="0.25">
      <c r="A16" s="24" t="s">
        <v>34</v>
      </c>
      <c r="B16" s="24" t="s">
        <v>35</v>
      </c>
      <c r="C16" s="40" t="s">
        <v>61</v>
      </c>
      <c r="D16" s="25">
        <v>52</v>
      </c>
      <c r="E16" s="25">
        <v>149</v>
      </c>
      <c r="F16" s="26">
        <v>412</v>
      </c>
      <c r="G16" s="41">
        <v>8</v>
      </c>
      <c r="H16" s="27">
        <v>101</v>
      </c>
      <c r="I16" s="25" t="s">
        <v>2</v>
      </c>
      <c r="J16" s="25" t="s">
        <v>3</v>
      </c>
      <c r="K16" s="25">
        <v>31</v>
      </c>
      <c r="L16" s="25">
        <v>326</v>
      </c>
      <c r="M16" s="25" t="s">
        <v>93</v>
      </c>
      <c r="N16" s="26">
        <v>10.3</v>
      </c>
      <c r="O16" s="25" t="s">
        <v>93</v>
      </c>
      <c r="P16" s="42">
        <v>32900</v>
      </c>
      <c r="Q16" s="25">
        <v>1504</v>
      </c>
      <c r="R16" s="43" t="s">
        <v>112</v>
      </c>
      <c r="S16" s="60">
        <v>12.522796352583599</v>
      </c>
      <c r="T16" s="59">
        <v>4.47</v>
      </c>
      <c r="U16" s="60">
        <v>7.9230769230769234</v>
      </c>
      <c r="V16" s="60">
        <v>7.4978371623570119</v>
      </c>
      <c r="W16" s="61">
        <v>3.6109280011719036E-2</v>
      </c>
      <c r="X16" s="62">
        <f t="shared" si="6"/>
        <v>91.921411921411988</v>
      </c>
      <c r="Y16" s="63">
        <f t="shared" si="0"/>
        <v>92.617449664429529</v>
      </c>
      <c r="Z16" s="63">
        <f t="shared" si="1"/>
        <v>88.747978747978735</v>
      </c>
      <c r="AA16" s="63">
        <f t="shared" si="2"/>
        <v>87.74195048007401</v>
      </c>
      <c r="AB16" s="64">
        <f t="shared" si="3"/>
        <v>53.610928001171906</v>
      </c>
      <c r="AC16" s="63">
        <f t="shared" si="4"/>
        <v>91.25</v>
      </c>
      <c r="AD16" s="63">
        <f t="shared" si="5"/>
        <v>81.209748735226228</v>
      </c>
    </row>
    <row r="17" spans="1:30" hidden="1" x14ac:dyDescent="0.25">
      <c r="A17" s="14" t="s">
        <v>34</v>
      </c>
      <c r="B17" s="14" t="s">
        <v>36</v>
      </c>
      <c r="C17" s="14" t="s">
        <v>62</v>
      </c>
      <c r="D17" s="15">
        <v>60</v>
      </c>
      <c r="E17" s="15">
        <v>150</v>
      </c>
      <c r="F17" s="16">
        <v>468</v>
      </c>
      <c r="G17" s="36">
        <v>7.4</v>
      </c>
      <c r="H17" s="17">
        <v>129</v>
      </c>
      <c r="I17" s="15" t="s">
        <v>10</v>
      </c>
      <c r="J17" s="15" t="s">
        <v>3</v>
      </c>
      <c r="K17" s="15">
        <v>33</v>
      </c>
      <c r="L17" s="15">
        <v>440</v>
      </c>
      <c r="M17" s="15" t="s">
        <v>93</v>
      </c>
      <c r="N17" s="16">
        <v>10.4</v>
      </c>
      <c r="O17" s="15" t="s">
        <v>93</v>
      </c>
      <c r="P17" s="18">
        <v>40990</v>
      </c>
      <c r="Q17" s="15">
        <v>1719</v>
      </c>
      <c r="R17" s="15" t="s">
        <v>113</v>
      </c>
      <c r="S17" s="15">
        <v>11.417418882654299</v>
      </c>
      <c r="T17" s="49">
        <v>4.5</v>
      </c>
      <c r="U17" s="16">
        <v>7.8</v>
      </c>
      <c r="V17" s="16">
        <v>5.9630292188431726</v>
      </c>
      <c r="W17" s="50">
        <v>-3.9981394168763409E-2</v>
      </c>
      <c r="X17" s="51">
        <f t="shared" si="6"/>
        <v>81.22616916704807</v>
      </c>
      <c r="Y17" s="52">
        <f t="shared" si="0"/>
        <v>86.666666666666671</v>
      </c>
      <c r="Z17" s="52">
        <f t="shared" si="1"/>
        <v>87.640449438202239</v>
      </c>
      <c r="AA17" s="52">
        <f t="shared" si="2"/>
        <v>64.603531300160512</v>
      </c>
      <c r="AB17" s="53">
        <f t="shared" si="3"/>
        <v>46.001860583123658</v>
      </c>
      <c r="AC17" s="52">
        <f t="shared" si="4"/>
        <v>71.621621621621614</v>
      </c>
      <c r="AD17" s="52">
        <f t="shared" si="5"/>
        <v>69.992205999854846</v>
      </c>
    </row>
    <row r="18" spans="1:30" hidden="1" x14ac:dyDescent="0.25">
      <c r="A18" s="9" t="s">
        <v>34</v>
      </c>
      <c r="B18" s="9" t="s">
        <v>37</v>
      </c>
      <c r="C18" s="9" t="s">
        <v>63</v>
      </c>
      <c r="D18" s="10">
        <v>87</v>
      </c>
      <c r="E18" s="10">
        <v>168</v>
      </c>
      <c r="F18" s="11">
        <v>623</v>
      </c>
      <c r="G18" s="35">
        <v>7.9</v>
      </c>
      <c r="H18" s="12">
        <v>150</v>
      </c>
      <c r="I18" s="10" t="s">
        <v>6</v>
      </c>
      <c r="J18" s="10" t="s">
        <v>5</v>
      </c>
      <c r="K18" s="10">
        <v>40</v>
      </c>
      <c r="L18" s="10">
        <v>545</v>
      </c>
      <c r="M18" s="10" t="s">
        <v>93</v>
      </c>
      <c r="N18" s="11">
        <v>10.9</v>
      </c>
      <c r="O18" s="10" t="s">
        <v>93</v>
      </c>
      <c r="P18" s="13">
        <v>47900</v>
      </c>
      <c r="Q18" s="10">
        <v>1917</v>
      </c>
      <c r="R18" s="10" t="s">
        <v>114</v>
      </c>
      <c r="S18" s="10">
        <v>13.006263048016701</v>
      </c>
      <c r="T18" s="44">
        <v>5.04</v>
      </c>
      <c r="U18" s="11">
        <v>7.1609195402298846</v>
      </c>
      <c r="V18" s="11">
        <v>5.5858747993579456</v>
      </c>
      <c r="W18" s="45">
        <v>3.752448887326066E-2</v>
      </c>
      <c r="X18" s="46">
        <f t="shared" si="6"/>
        <v>98.057204292108793</v>
      </c>
      <c r="Y18" s="47">
        <f t="shared" si="0"/>
        <v>84.523809523809518</v>
      </c>
      <c r="Z18" s="47">
        <f t="shared" si="1"/>
        <v>85.584363642686938</v>
      </c>
      <c r="AA18" s="47">
        <f t="shared" si="2"/>
        <v>51.350618185612198</v>
      </c>
      <c r="AB18" s="48">
        <f t="shared" si="3"/>
        <v>53.752448887326068</v>
      </c>
      <c r="AC18" s="47">
        <f t="shared" si="4"/>
        <v>70.886075949367083</v>
      </c>
      <c r="AD18" s="47">
        <f t="shared" si="5"/>
        <v>72.675092699284164</v>
      </c>
    </row>
    <row r="19" spans="1:30" hidden="1" x14ac:dyDescent="0.25">
      <c r="A19" s="9" t="s">
        <v>38</v>
      </c>
      <c r="B19" s="9" t="s">
        <v>39</v>
      </c>
      <c r="C19" s="9" t="s">
        <v>64</v>
      </c>
      <c r="D19" s="10">
        <v>77</v>
      </c>
      <c r="E19" s="10">
        <v>148</v>
      </c>
      <c r="F19" s="11">
        <v>586</v>
      </c>
      <c r="G19" s="35">
        <v>6.7</v>
      </c>
      <c r="H19" s="12">
        <v>135</v>
      </c>
      <c r="I19" s="10" t="s">
        <v>6</v>
      </c>
      <c r="J19" s="10" t="s">
        <v>5</v>
      </c>
      <c r="K19" s="10">
        <v>28</v>
      </c>
      <c r="L19" s="10">
        <v>585</v>
      </c>
      <c r="M19" s="10" t="s">
        <v>93</v>
      </c>
      <c r="N19" s="11">
        <v>9.3000000000000007</v>
      </c>
      <c r="O19" s="10" t="s">
        <v>94</v>
      </c>
      <c r="P19" s="13">
        <v>48900</v>
      </c>
      <c r="Q19" s="10">
        <v>2141</v>
      </c>
      <c r="R19" s="10" t="s">
        <v>114</v>
      </c>
      <c r="S19" s="10">
        <v>11.983640081799599</v>
      </c>
      <c r="T19" s="44">
        <v>4.4400000000000004</v>
      </c>
      <c r="U19" s="11">
        <v>7.6103896103896105</v>
      </c>
      <c r="V19" s="11">
        <v>5.8399696624952595</v>
      </c>
      <c r="W19" s="45">
        <v>1.7431054402973829E-2</v>
      </c>
      <c r="X19" s="46">
        <f t="shared" si="6"/>
        <v>90.347414882041207</v>
      </c>
      <c r="Y19" s="47">
        <f t="shared" si="0"/>
        <v>95.945945945945937</v>
      </c>
      <c r="Z19" s="47">
        <f t="shared" si="1"/>
        <v>90.956244965322085</v>
      </c>
      <c r="AA19" s="47">
        <f t="shared" si="2"/>
        <v>49.116372281273954</v>
      </c>
      <c r="AB19" s="48">
        <f t="shared" si="3"/>
        <v>51.743105440297384</v>
      </c>
      <c r="AC19" s="47">
        <f t="shared" si="4"/>
        <v>83.582089552238799</v>
      </c>
      <c r="AD19" s="47">
        <f t="shared" si="5"/>
        <v>74.148059950902407</v>
      </c>
    </row>
    <row r="20" spans="1:30" hidden="1" x14ac:dyDescent="0.25">
      <c r="A20" s="14" t="s">
        <v>40</v>
      </c>
      <c r="B20" s="14" t="s">
        <v>45</v>
      </c>
      <c r="C20" s="14" t="s">
        <v>65</v>
      </c>
      <c r="D20" s="15">
        <v>60</v>
      </c>
      <c r="E20" s="15">
        <v>130</v>
      </c>
      <c r="F20" s="16">
        <v>534</v>
      </c>
      <c r="G20" s="36">
        <v>6.2</v>
      </c>
      <c r="H20" s="17">
        <v>175</v>
      </c>
      <c r="I20" s="15" t="s">
        <v>8</v>
      </c>
      <c r="J20" s="15" t="s">
        <v>7</v>
      </c>
      <c r="K20" s="15">
        <v>24</v>
      </c>
      <c r="L20" s="15">
        <v>594</v>
      </c>
      <c r="M20" s="15" t="s">
        <v>93</v>
      </c>
      <c r="N20" s="16">
        <v>11.7</v>
      </c>
      <c r="O20" s="15" t="s">
        <v>94</v>
      </c>
      <c r="P20" s="18">
        <v>37990</v>
      </c>
      <c r="Q20" s="15">
        <v>1847</v>
      </c>
      <c r="R20" s="15" t="s">
        <v>113</v>
      </c>
      <c r="S20" s="15">
        <v>14.0563306133193</v>
      </c>
      <c r="T20" s="49">
        <v>3.9</v>
      </c>
      <c r="U20" s="16">
        <v>8.9</v>
      </c>
      <c r="V20" s="16">
        <v>3.8523274478330656</v>
      </c>
      <c r="W20" s="50">
        <v>3.6133369981182682E-2</v>
      </c>
      <c r="X20" s="51">
        <f t="shared" si="6"/>
        <v>100</v>
      </c>
      <c r="Y20" s="52">
        <f t="shared" si="0"/>
        <v>100</v>
      </c>
      <c r="Z20" s="52">
        <f t="shared" si="1"/>
        <v>100</v>
      </c>
      <c r="AA20" s="52">
        <f t="shared" si="2"/>
        <v>100</v>
      </c>
      <c r="AB20" s="53">
        <f t="shared" si="3"/>
        <v>53.613336998118271</v>
      </c>
      <c r="AC20" s="52">
        <f t="shared" si="4"/>
        <v>85.483870967741922</v>
      </c>
      <c r="AD20" s="52">
        <f t="shared" si="5"/>
        <v>86.225914894690845</v>
      </c>
    </row>
    <row r="21" spans="1:30" hidden="1" x14ac:dyDescent="0.25">
      <c r="A21" s="14" t="s">
        <v>41</v>
      </c>
      <c r="B21" s="14" t="s">
        <v>42</v>
      </c>
      <c r="C21" s="14" t="s">
        <v>66</v>
      </c>
      <c r="D21" s="15">
        <v>59</v>
      </c>
      <c r="E21" s="15">
        <v>153</v>
      </c>
      <c r="F21" s="16">
        <v>434</v>
      </c>
      <c r="G21" s="36">
        <v>7.6</v>
      </c>
      <c r="H21" s="17">
        <v>165</v>
      </c>
      <c r="I21" s="15" t="s">
        <v>10</v>
      </c>
      <c r="J21" s="15" t="s">
        <v>3</v>
      </c>
      <c r="K21" s="15">
        <v>24</v>
      </c>
      <c r="L21" s="15">
        <v>385</v>
      </c>
      <c r="M21" s="15" t="s">
        <v>93</v>
      </c>
      <c r="N21" s="16">
        <v>10.3</v>
      </c>
      <c r="O21" s="15" t="s">
        <v>94</v>
      </c>
      <c r="P21" s="18">
        <v>36425</v>
      </c>
      <c r="Q21" s="15">
        <v>1815</v>
      </c>
      <c r="R21" s="15" t="s">
        <v>113</v>
      </c>
      <c r="S21" s="15">
        <v>11.914893617021299</v>
      </c>
      <c r="T21" s="49">
        <v>4.59</v>
      </c>
      <c r="U21" s="16">
        <v>7.3559322033898304</v>
      </c>
      <c r="V21" s="16">
        <v>4.943443653121073</v>
      </c>
      <c r="W21" s="50">
        <v>7.5839905279404554E-2</v>
      </c>
      <c r="X21" s="51">
        <f t="shared" si="6"/>
        <v>84.76531994581255</v>
      </c>
      <c r="Y21" s="52">
        <f t="shared" si="0"/>
        <v>84.967320261437905</v>
      </c>
      <c r="Z21" s="52">
        <f t="shared" si="1"/>
        <v>82.650923633593592</v>
      </c>
      <c r="AA21" s="52">
        <f t="shared" si="2"/>
        <v>77.928013711673955</v>
      </c>
      <c r="AB21" s="53">
        <f t="shared" si="3"/>
        <v>57.583990527940458</v>
      </c>
      <c r="AC21" s="52">
        <f t="shared" si="4"/>
        <v>69.736842105263165</v>
      </c>
      <c r="AD21" s="52">
        <f t="shared" si="5"/>
        <v>74.393160564871025</v>
      </c>
    </row>
    <row r="22" spans="1:30" hidden="1" x14ac:dyDescent="0.25">
      <c r="A22" s="9" t="s">
        <v>41</v>
      </c>
      <c r="B22" s="9" t="s">
        <v>43</v>
      </c>
      <c r="C22" s="9" t="s">
        <v>67</v>
      </c>
      <c r="D22" s="10">
        <v>77</v>
      </c>
      <c r="E22" s="10">
        <v>155</v>
      </c>
      <c r="F22" s="11">
        <v>572</v>
      </c>
      <c r="G22" s="35">
        <v>6.7</v>
      </c>
      <c r="H22" s="12">
        <v>175</v>
      </c>
      <c r="I22" s="10" t="s">
        <v>6</v>
      </c>
      <c r="J22" s="10" t="s">
        <v>5</v>
      </c>
      <c r="K22" s="10">
        <v>28</v>
      </c>
      <c r="L22" s="10">
        <v>543</v>
      </c>
      <c r="M22" s="10" t="s">
        <v>93</v>
      </c>
      <c r="N22" s="11">
        <v>10.3</v>
      </c>
      <c r="O22" s="10" t="s">
        <v>94</v>
      </c>
      <c r="P22" s="13">
        <v>46335</v>
      </c>
      <c r="Q22" s="10">
        <v>2139</v>
      </c>
      <c r="R22" s="10" t="s">
        <v>114</v>
      </c>
      <c r="S22" s="10">
        <v>12.344879680587001</v>
      </c>
      <c r="T22" s="44">
        <v>4.6499999999999995</v>
      </c>
      <c r="U22" s="11">
        <v>7.4285714285714288</v>
      </c>
      <c r="V22" s="11">
        <v>4.6153846153846159</v>
      </c>
      <c r="W22" s="45">
        <v>6.8970713819259552E-2</v>
      </c>
      <c r="X22" s="46">
        <f t="shared" si="6"/>
        <v>93.070883183883453</v>
      </c>
      <c r="Y22" s="47">
        <f t="shared" si="0"/>
        <v>91.612903225806448</v>
      </c>
      <c r="Z22" s="47">
        <f t="shared" si="1"/>
        <v>88.7832288740004</v>
      </c>
      <c r="AA22" s="47">
        <f t="shared" si="2"/>
        <v>62.148260211800313</v>
      </c>
      <c r="AB22" s="48">
        <f t="shared" si="3"/>
        <v>56.897071381925954</v>
      </c>
      <c r="AC22" s="47">
        <f t="shared" si="4"/>
        <v>83.582089552238799</v>
      </c>
      <c r="AD22" s="47">
        <f t="shared" si="5"/>
        <v>77.176771600544754</v>
      </c>
    </row>
    <row r="23" spans="1:30" hidden="1" x14ac:dyDescent="0.25">
      <c r="A23" s="14" t="s">
        <v>44</v>
      </c>
      <c r="B23" s="14" t="s">
        <v>46</v>
      </c>
      <c r="C23" s="14" t="s">
        <v>68</v>
      </c>
      <c r="D23" s="15">
        <v>65</v>
      </c>
      <c r="E23" s="15">
        <v>170</v>
      </c>
      <c r="F23" s="16">
        <v>476</v>
      </c>
      <c r="G23" s="36">
        <v>5.3</v>
      </c>
      <c r="H23" s="17">
        <v>158</v>
      </c>
      <c r="I23" s="15" t="s">
        <v>4</v>
      </c>
      <c r="J23" s="15" t="s">
        <v>5</v>
      </c>
      <c r="K23" s="15">
        <v>28</v>
      </c>
      <c r="L23" s="15">
        <v>318</v>
      </c>
      <c r="M23" s="15" t="s">
        <v>93</v>
      </c>
      <c r="N23" s="16">
        <v>10.6</v>
      </c>
      <c r="O23" s="15" t="s">
        <v>93</v>
      </c>
      <c r="P23" s="18">
        <v>44990</v>
      </c>
      <c r="Q23" s="15">
        <v>1850</v>
      </c>
      <c r="R23" s="15" t="s">
        <v>113</v>
      </c>
      <c r="S23" s="15">
        <v>10.5801289175372</v>
      </c>
      <c r="T23" s="49">
        <v>5.0999999999999996</v>
      </c>
      <c r="U23" s="16">
        <v>7.3230769230769228</v>
      </c>
      <c r="V23" s="16">
        <v>5.1856185512179556</v>
      </c>
      <c r="W23" s="50">
        <v>-0.14146774636869153</v>
      </c>
      <c r="X23" s="51">
        <f t="shared" si="6"/>
        <v>75.269493928321737</v>
      </c>
      <c r="Y23" s="52">
        <f t="shared" si="0"/>
        <v>76.47058823529413</v>
      </c>
      <c r="Z23" s="52">
        <f t="shared" si="1"/>
        <v>82.281763180639572</v>
      </c>
      <c r="AA23" s="52">
        <f t="shared" si="2"/>
        <v>74.28867761452031</v>
      </c>
      <c r="AB23" s="53">
        <f t="shared" si="3"/>
        <v>35.853225363130846</v>
      </c>
      <c r="AC23" s="52">
        <f t="shared" si="4"/>
        <v>100</v>
      </c>
      <c r="AD23" s="52">
        <f t="shared" si="5"/>
        <v>70.149830069250456</v>
      </c>
    </row>
    <row r="24" spans="1:30" x14ac:dyDescent="0.25">
      <c r="A24" s="19" t="s">
        <v>34</v>
      </c>
      <c r="B24" s="19" t="s">
        <v>69</v>
      </c>
      <c r="C24" s="19" t="s">
        <v>98</v>
      </c>
      <c r="D24" s="20">
        <v>27.5</v>
      </c>
      <c r="E24" s="21">
        <v>131</v>
      </c>
      <c r="F24" s="21">
        <v>263</v>
      </c>
      <c r="G24" s="37">
        <v>12.1</v>
      </c>
      <c r="H24" s="22">
        <v>50</v>
      </c>
      <c r="I24" s="20"/>
      <c r="J24" s="29"/>
      <c r="K24" s="22">
        <v>30</v>
      </c>
      <c r="L24" s="22">
        <v>360</v>
      </c>
      <c r="M24" s="29" t="s">
        <v>94</v>
      </c>
      <c r="N24" s="21">
        <v>9.8000000000000007</v>
      </c>
      <c r="O24" s="29" t="s">
        <v>93</v>
      </c>
      <c r="P24" s="23">
        <v>18900</v>
      </c>
      <c r="Q24" s="20">
        <v>1275</v>
      </c>
      <c r="R24" s="20" t="s">
        <v>115</v>
      </c>
      <c r="S24" s="20">
        <v>13.9153439153439</v>
      </c>
      <c r="T24" s="54">
        <v>3.9299999999999997</v>
      </c>
      <c r="U24" s="21">
        <v>9.5636363636363644</v>
      </c>
      <c r="V24" s="21">
        <v>12.547528517110266</v>
      </c>
      <c r="W24" s="55">
        <v>0.15618721631073737</v>
      </c>
      <c r="X24" s="56">
        <f t="shared" si="6"/>
        <v>95.526955526955206</v>
      </c>
      <c r="Y24" s="57">
        <f t="shared" si="0"/>
        <v>100</v>
      </c>
      <c r="Z24" s="57">
        <f t="shared" si="1"/>
        <v>100</v>
      </c>
      <c r="AA24" s="57">
        <f t="shared" si="2"/>
        <v>66.030970826203969</v>
      </c>
      <c r="AB24" s="58">
        <f t="shared" si="3"/>
        <v>65.61872163107374</v>
      </c>
      <c r="AC24" s="57">
        <f t="shared" si="4"/>
        <v>87.603305785123965</v>
      </c>
      <c r="AD24" s="57">
        <f t="shared" si="5"/>
        <v>83.555213004858672</v>
      </c>
    </row>
    <row r="25" spans="1:30" hidden="1" x14ac:dyDescent="0.25">
      <c r="A25" s="19" t="s">
        <v>9</v>
      </c>
      <c r="B25" s="19" t="s">
        <v>70</v>
      </c>
      <c r="C25" s="19" t="s">
        <v>97</v>
      </c>
      <c r="D25" s="20">
        <v>30</v>
      </c>
      <c r="E25" s="21">
        <v>155</v>
      </c>
      <c r="F25" s="21">
        <v>220</v>
      </c>
      <c r="G25" s="37">
        <v>11.1</v>
      </c>
      <c r="H25" s="22">
        <v>65</v>
      </c>
      <c r="I25" s="20"/>
      <c r="J25" s="29"/>
      <c r="K25" s="22">
        <v>29</v>
      </c>
      <c r="L25" s="22">
        <v>308</v>
      </c>
      <c r="M25" s="29" t="s">
        <v>93</v>
      </c>
      <c r="N25" s="21">
        <v>9.9</v>
      </c>
      <c r="O25" s="29" t="s">
        <v>93</v>
      </c>
      <c r="P25" s="23">
        <v>22900</v>
      </c>
      <c r="Q25" s="20">
        <v>1369</v>
      </c>
      <c r="R25" s="20" t="s">
        <v>115</v>
      </c>
      <c r="S25" s="20">
        <v>9.6069868995633207</v>
      </c>
      <c r="T25" s="54">
        <v>4.6499999999999995</v>
      </c>
      <c r="U25" s="21">
        <v>7.333333333333333</v>
      </c>
      <c r="V25" s="21">
        <v>12.587412587412587</v>
      </c>
      <c r="W25" s="55">
        <v>-2.2397499813974309E-2</v>
      </c>
      <c r="X25" s="56">
        <f t="shared" si="6"/>
        <v>65.950666824029142</v>
      </c>
      <c r="Y25" s="57">
        <f t="shared" si="0"/>
        <v>84.516129032258064</v>
      </c>
      <c r="Z25" s="57">
        <f t="shared" si="1"/>
        <v>76.679340937896058</v>
      </c>
      <c r="AA25" s="57">
        <f t="shared" si="2"/>
        <v>65.821747217755927</v>
      </c>
      <c r="AB25" s="58">
        <f t="shared" si="3"/>
        <v>47.760250018602569</v>
      </c>
      <c r="AC25" s="57">
        <f t="shared" si="4"/>
        <v>95.495495495495504</v>
      </c>
      <c r="AD25" s="57">
        <f t="shared" si="5"/>
        <v>69.2812963203544</v>
      </c>
    </row>
    <row r="27" spans="1:30" x14ac:dyDescent="0.25">
      <c r="T27" s="30">
        <f>AVERAGE(T5:T25)</f>
        <v>4.5857142857142863</v>
      </c>
      <c r="AD27" s="32"/>
    </row>
    <row r="28" spans="1:30" x14ac:dyDescent="0.25">
      <c r="AD28" s="3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C32F6-697B-41DB-BB1F-A6B744D1833E}">
  <dimension ref="A1:B10"/>
  <sheetViews>
    <sheetView workbookViewId="0">
      <selection activeCell="B4" sqref="B4"/>
    </sheetView>
  </sheetViews>
  <sheetFormatPr defaultRowHeight="15" x14ac:dyDescent="0.25"/>
  <cols>
    <col min="1" max="1" width="28.28515625" bestFit="1" customWidth="1"/>
    <col min="2" max="2" width="24.85546875" bestFit="1" customWidth="1"/>
  </cols>
  <sheetData>
    <row r="1" spans="1:2" x14ac:dyDescent="0.25">
      <c r="A1" s="38" t="s">
        <v>79</v>
      </c>
      <c r="B1" t="s">
        <v>112</v>
      </c>
    </row>
    <row r="3" spans="1:2" x14ac:dyDescent="0.25">
      <c r="A3" s="38" t="s">
        <v>117</v>
      </c>
      <c r="B3" t="s">
        <v>120</v>
      </c>
    </row>
    <row r="4" spans="1:2" x14ac:dyDescent="0.25">
      <c r="A4" s="39" t="s">
        <v>59</v>
      </c>
      <c r="B4" s="32">
        <v>86.72265548091012</v>
      </c>
    </row>
    <row r="5" spans="1:2" x14ac:dyDescent="0.25">
      <c r="A5" s="39" t="s">
        <v>61</v>
      </c>
      <c r="B5" s="32">
        <v>81.209748735226228</v>
      </c>
    </row>
    <row r="6" spans="1:2" x14ac:dyDescent="0.25">
      <c r="A6" s="39" t="s">
        <v>60</v>
      </c>
      <c r="B6" s="32">
        <v>79.487187329746476</v>
      </c>
    </row>
    <row r="7" spans="1:2" x14ac:dyDescent="0.25">
      <c r="A7" s="39" t="s">
        <v>58</v>
      </c>
      <c r="B7" s="32">
        <v>75.60796544287291</v>
      </c>
    </row>
    <row r="8" spans="1:2" x14ac:dyDescent="0.25">
      <c r="A8" s="39" t="s">
        <v>52</v>
      </c>
      <c r="B8" s="32">
        <v>75.347988803979661</v>
      </c>
    </row>
    <row r="9" spans="1:2" x14ac:dyDescent="0.25">
      <c r="A9" s="39" t="s">
        <v>57</v>
      </c>
      <c r="B9" s="32">
        <v>70.785082245069404</v>
      </c>
    </row>
    <row r="10" spans="1:2" x14ac:dyDescent="0.25">
      <c r="A10" s="39" t="s">
        <v>118</v>
      </c>
      <c r="B10" s="32">
        <v>78.193438006300809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02BB4-1EE1-4C88-9C68-DE8E60DF6F1B}">
  <dimension ref="A1:B10"/>
  <sheetViews>
    <sheetView workbookViewId="0">
      <selection activeCell="A5" sqref="A5"/>
    </sheetView>
  </sheetViews>
  <sheetFormatPr defaultRowHeight="15" x14ac:dyDescent="0.25"/>
  <cols>
    <col min="1" max="1" width="41.28515625" bestFit="1" customWidth="1"/>
    <col min="2" max="2" width="21.42578125" bestFit="1" customWidth="1"/>
  </cols>
  <sheetData>
    <row r="1" spans="1:2" x14ac:dyDescent="0.25">
      <c r="A1" s="38" t="s">
        <v>79</v>
      </c>
      <c r="B1" t="s">
        <v>113</v>
      </c>
    </row>
    <row r="3" spans="1:2" x14ac:dyDescent="0.25">
      <c r="A3" s="38" t="s">
        <v>117</v>
      </c>
      <c r="B3" t="s">
        <v>119</v>
      </c>
    </row>
    <row r="4" spans="1:2" x14ac:dyDescent="0.25">
      <c r="A4" s="39" t="s">
        <v>65</v>
      </c>
      <c r="B4" s="32">
        <v>86.225914894690845</v>
      </c>
    </row>
    <row r="5" spans="1:2" x14ac:dyDescent="0.25">
      <c r="A5" s="39" t="s">
        <v>66</v>
      </c>
      <c r="B5" s="32">
        <v>74.393160564871025</v>
      </c>
    </row>
    <row r="6" spans="1:2" x14ac:dyDescent="0.25">
      <c r="A6" s="39" t="s">
        <v>49</v>
      </c>
      <c r="B6" s="32">
        <v>71.972849559879791</v>
      </c>
    </row>
    <row r="7" spans="1:2" x14ac:dyDescent="0.25">
      <c r="A7" s="39" t="s">
        <v>68</v>
      </c>
      <c r="B7" s="32">
        <v>70.149830069250456</v>
      </c>
    </row>
    <row r="8" spans="1:2" x14ac:dyDescent="0.25">
      <c r="A8" s="39" t="s">
        <v>62</v>
      </c>
      <c r="B8" s="32">
        <v>69.992205999854846</v>
      </c>
    </row>
    <row r="9" spans="1:2" x14ac:dyDescent="0.25">
      <c r="A9" s="39" t="s">
        <v>50</v>
      </c>
      <c r="B9" s="32">
        <v>69.763589626032015</v>
      </c>
    </row>
    <row r="10" spans="1:2" x14ac:dyDescent="0.25">
      <c r="A10" s="39" t="s">
        <v>118</v>
      </c>
      <c r="B10" s="32">
        <v>442.49755071457901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B95B9-920D-4892-A389-026F7A7D2BE6}">
  <dimension ref="A1:B10"/>
  <sheetViews>
    <sheetView workbookViewId="0">
      <selection activeCell="B4" sqref="B4:B9"/>
    </sheetView>
  </sheetViews>
  <sheetFormatPr defaultRowHeight="15" x14ac:dyDescent="0.25"/>
  <cols>
    <col min="1" max="1" width="35.7109375" bestFit="1" customWidth="1"/>
    <col min="2" max="2" width="21.42578125" bestFit="1" customWidth="1"/>
    <col min="3" max="5" width="6.5703125" bestFit="1" customWidth="1"/>
    <col min="6" max="6" width="11.28515625" bestFit="1" customWidth="1"/>
  </cols>
  <sheetData>
    <row r="1" spans="1:2" x14ac:dyDescent="0.25">
      <c r="A1" s="38" t="s">
        <v>79</v>
      </c>
      <c r="B1" t="s">
        <v>114</v>
      </c>
    </row>
    <row r="3" spans="1:2" x14ac:dyDescent="0.25">
      <c r="A3" s="38" t="s">
        <v>117</v>
      </c>
      <c r="B3" t="s">
        <v>119</v>
      </c>
    </row>
    <row r="4" spans="1:2" x14ac:dyDescent="0.25">
      <c r="A4" s="39" t="s">
        <v>95</v>
      </c>
      <c r="B4" s="32">
        <v>86.450309629764945</v>
      </c>
    </row>
    <row r="5" spans="1:2" x14ac:dyDescent="0.25">
      <c r="A5" s="39" t="s">
        <v>67</v>
      </c>
      <c r="B5" s="32">
        <v>77.176771600544754</v>
      </c>
    </row>
    <row r="6" spans="1:2" x14ac:dyDescent="0.25">
      <c r="A6" s="39" t="s">
        <v>55</v>
      </c>
      <c r="B6" s="32">
        <v>74.480396007466013</v>
      </c>
    </row>
    <row r="7" spans="1:2" x14ac:dyDescent="0.25">
      <c r="A7" s="39" t="s">
        <v>64</v>
      </c>
      <c r="B7" s="32">
        <v>74.148059950902407</v>
      </c>
    </row>
    <row r="8" spans="1:2" x14ac:dyDescent="0.25">
      <c r="A8" s="39" t="s">
        <v>63</v>
      </c>
      <c r="B8" s="32">
        <v>72.675092699284164</v>
      </c>
    </row>
    <row r="9" spans="1:2" x14ac:dyDescent="0.25">
      <c r="A9" s="39" t="s">
        <v>96</v>
      </c>
      <c r="B9" s="32">
        <v>70.158275799160862</v>
      </c>
    </row>
    <row r="10" spans="1:2" x14ac:dyDescent="0.25">
      <c r="A10" s="39" t="s">
        <v>118</v>
      </c>
      <c r="B10" s="32">
        <v>455.08890568712309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60B7-2476-438C-88FC-9EE270DD16AE}">
  <dimension ref="A1:B10"/>
  <sheetViews>
    <sheetView tabSelected="1" workbookViewId="0">
      <selection activeCell="Q4" sqref="Q4"/>
    </sheetView>
  </sheetViews>
  <sheetFormatPr defaultRowHeight="15" x14ac:dyDescent="0.25"/>
  <cols>
    <col min="1" max="1" width="31.28515625" bestFit="1" customWidth="1"/>
    <col min="2" max="2" width="21.42578125" bestFit="1" customWidth="1"/>
  </cols>
  <sheetData>
    <row r="1" spans="1:2" x14ac:dyDescent="0.25">
      <c r="A1" s="38" t="s">
        <v>79</v>
      </c>
      <c r="B1" t="s">
        <v>115</v>
      </c>
    </row>
    <row r="3" spans="1:2" x14ac:dyDescent="0.25">
      <c r="A3" s="38" t="s">
        <v>117</v>
      </c>
      <c r="B3" t="s">
        <v>119</v>
      </c>
    </row>
    <row r="4" spans="1:2" x14ac:dyDescent="0.25">
      <c r="A4" s="39" t="s">
        <v>98</v>
      </c>
      <c r="B4" s="32">
        <v>83.555213004858672</v>
      </c>
    </row>
    <row r="5" spans="1:2" x14ac:dyDescent="0.25">
      <c r="A5" s="39" t="s">
        <v>54</v>
      </c>
      <c r="B5" s="32">
        <v>79.718826102182703</v>
      </c>
    </row>
    <row r="6" spans="1:2" x14ac:dyDescent="0.25">
      <c r="A6" s="39" t="s">
        <v>51</v>
      </c>
      <c r="B6" s="32">
        <v>79.285849123166159</v>
      </c>
    </row>
    <row r="7" spans="1:2" x14ac:dyDescent="0.25">
      <c r="A7" s="39" t="s">
        <v>53</v>
      </c>
      <c r="B7" s="32">
        <v>75.898315429166971</v>
      </c>
    </row>
    <row r="8" spans="1:2" x14ac:dyDescent="0.25">
      <c r="A8" s="39" t="s">
        <v>56</v>
      </c>
      <c r="B8" s="32">
        <v>75.075965285316812</v>
      </c>
    </row>
    <row r="9" spans="1:2" x14ac:dyDescent="0.25">
      <c r="A9" s="39" t="s">
        <v>97</v>
      </c>
      <c r="B9" s="32">
        <v>69.2812963203544</v>
      </c>
    </row>
    <row r="10" spans="1:2" x14ac:dyDescent="0.25">
      <c r="A10" s="39" t="s">
        <v>118</v>
      </c>
      <c r="B10" s="32">
        <v>462.8154652650457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1CBF335C9C1DCB4A92225F12F271C732" ma:contentTypeVersion="5" ma:contentTypeDescription="Yeni belge oluşturun." ma:contentTypeScope="" ma:versionID="8df09912a03b18c6409c78ac6d36319f">
  <xsd:schema xmlns:xsd="http://www.w3.org/2001/XMLSchema" xmlns:xs="http://www.w3.org/2001/XMLSchema" xmlns:p="http://schemas.microsoft.com/office/2006/metadata/properties" xmlns:ns3="48d33906-f6f9-44f7-b744-295d0c650ea7" targetNamespace="http://schemas.microsoft.com/office/2006/metadata/properties" ma:root="true" ma:fieldsID="e068d2999574ee2af5a690e0cd684a64" ns3:_="">
    <xsd:import namespace="48d33906-f6f9-44f7-b744-295d0c650ea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d33906-f6f9-44f7-b744-295d0c650e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E13A03-F015-473C-A458-325C2C7A72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d33906-f6f9-44f7-b744-295d0c650e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4DCF88-5030-4462-AEA3-58BCD04118BD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83751668-683A-4A67-AFB5-622B292B97B0}">
  <ds:schemaRefs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48d33906-f6f9-44f7-b744-295d0c650ea7"/>
    <ds:schemaRef ds:uri="http://schemas.microsoft.com/office/2006/metadata/properties"/>
    <ds:schemaRef ds:uri="http://purl.org/dc/terms/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939D37E3-118C-48B1-A394-743A4517C7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ANALYSIS PAGE</vt:lpstr>
      <vt:lpstr>DUEL 1 </vt:lpstr>
      <vt:lpstr>DUEL 2 </vt:lpstr>
      <vt:lpstr>DUEL3 </vt:lpstr>
      <vt:lpstr>DUEL 4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yılmaz</dc:creator>
  <cp:lastModifiedBy>mehmet yılmaz</cp:lastModifiedBy>
  <dcterms:created xsi:type="dcterms:W3CDTF">2026-03-01T17:10:19Z</dcterms:created>
  <dcterms:modified xsi:type="dcterms:W3CDTF">2026-03-25T18:12:01Z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0x0101001CBF335C9C1DCB4A92225F12F271C732</vt:lpwstr>
  </property>
</Properties>
</file>